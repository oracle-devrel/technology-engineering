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DDIBLAS\Oracle Content - Accounts\Oracle Content\tool WIP (Badr Mohamed)\Siebel\Siebel Template V4.0\01_Convince\"/>
    </mc:Choice>
  </mc:AlternateContent>
  <bookViews>
    <workbookView xWindow="-120" yWindow="-120" windowWidth="29040" windowHeight="15840" tabRatio="822" activeTab="3"/>
  </bookViews>
  <sheets>
    <sheet name="Customer Information" sheetId="24" r:id="rId1"/>
    <sheet name="High Level Discovery" sheetId="27" r:id="rId2"/>
    <sheet name="Common- Oracle Apps" sheetId="26" r:id="rId3"/>
    <sheet name="Siebel On OCI Discovery" sheetId="23" r:id="rId4"/>
    <sheet name="Siebel Sizing" sheetId="18" r:id="rId5"/>
    <sheet name="Lookup" sheetId="17" state="hidden" r:id="rId6"/>
  </sheets>
  <externalReferences>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s>
  <definedNames>
    <definedName name="abc" localSheetId="1">#REF!</definedName>
    <definedName name="abc">#REF!</definedName>
    <definedName name="action_status">'[1]04A-Migration-Runbook'!$F$39:$F$42</definedName>
    <definedName name="ActiveRow">56</definedName>
    <definedName name="Apps" localSheetId="1" hidden="1">#REF!</definedName>
    <definedName name="Apps" hidden="1">#REF!</definedName>
    <definedName name="Attrition" localSheetId="1">#REF!</definedName>
    <definedName name="Attrition">#REF!</definedName>
    <definedName name="Availability" localSheetId="1">#REF!</definedName>
    <definedName name="Availability">#REF!</definedName>
    <definedName name="AveDealSize" localSheetId="1">#REF!</definedName>
    <definedName name="AveDealSize">#REF!</definedName>
    <definedName name="AveDealsPerRep" localSheetId="1">#REF!</definedName>
    <definedName name="AveDealsPerRep">#REF!</definedName>
    <definedName name="AveValueLead" localSheetId="1">#REF!</definedName>
    <definedName name="AveValueLead">#REF!</definedName>
    <definedName name="Beg_Bal" localSheetId="1">#REF!</definedName>
    <definedName name="Beg_Bal">#REF!</definedName>
    <definedName name="Benefit_0_flags">'[2]Benefits summary'!$I$31:$I$50</definedName>
    <definedName name="Benefit_Value" localSheetId="1">#REF!</definedName>
    <definedName name="Benefit_Value">#REF!</definedName>
    <definedName name="Benefits_aggressive">'[2]Benefits summary'!$G$31:$G$50</definedName>
    <definedName name="Benefits_conservative">'[2]Benefits summary'!$E$31:$E$50</definedName>
    <definedName name="Benefits_growth_table">'[2]Growth table'!$D$5:$H$24</definedName>
    <definedName name="Benefits_names">'[2]Benefits summary'!$D$31:$D$50</definedName>
    <definedName name="Benefits_phasing_table">'[2]Phasing table'!$C$5:$G$24</definedName>
    <definedName name="Benefits_pragmatic">'[2]Benefits summary'!$F$31:$F$50</definedName>
    <definedName name="BYOL" localSheetId="1">#REF!</definedName>
    <definedName name="BYOL">#REF!</definedName>
    <definedName name="Cat" localSheetId="1">#REF!</definedName>
    <definedName name="Cat">#REF!</definedName>
    <definedName name="Categories">[3]BC!$E$27:$E$34</definedName>
    <definedName name="ccat" localSheetId="1">#REF!</definedName>
    <definedName name="ccat">#REF!</definedName>
    <definedName name="ccat1" localSheetId="1">#REF!</definedName>
    <definedName name="ccat1">#REF!</definedName>
    <definedName name="CCY">[4]Sheet2!$E$3:$F$9</definedName>
    <definedName name="Chosen_benefits">'[2]ROI summary'!$J$5:$J$24</definedName>
    <definedName name="Chosen_FTE" localSheetId="1">#REF!</definedName>
    <definedName name="Chosen_FTE">#REF!</definedName>
    <definedName name="Cisco" localSheetId="1">#REF!</definedName>
    <definedName name="Cisco">#REF!</definedName>
    <definedName name="Ciscocat" localSheetId="1">#REF!</definedName>
    <definedName name="Ciscocat">#REF!</definedName>
    <definedName name="Comp" localSheetId="0">[5]Lookup!$C$1:$C$7</definedName>
    <definedName name="Comp" localSheetId="3">[5]Lookup!$C$1:$C$7</definedName>
    <definedName name="Comp">Lookup!$C$1:$C$7</definedName>
    <definedName name="Company_name">[6]Data!$C$6</definedName>
    <definedName name="Componenets">Lookup!$U$2:$U$7</definedName>
    <definedName name="Components" localSheetId="0">[5]Lookup!$U$2:$U$9</definedName>
    <definedName name="Components" localSheetId="3">[5]Lookup!$U$2:$U$9</definedName>
    <definedName name="Components">Lookup!$U$2:$U$7</definedName>
    <definedName name="ConvRate" localSheetId="1">#REF!</definedName>
    <definedName name="ConvRate">#REF!</definedName>
    <definedName name="Cost_0_flags">'[2]Investment inputs'!$M$4:$M$15</definedName>
    <definedName name="Country" localSheetId="1">#REF!</definedName>
    <definedName name="Country">#REF!</definedName>
    <definedName name="CountryList" localSheetId="1">OFFSET(#REF!,0,0,COUNTA(#REF!),1)</definedName>
    <definedName name="CountryList">OFFSET(#REF!,0,0,COUNTA(#REF!),1)</definedName>
    <definedName name="CountrySelection">[7]Table!$E$10</definedName>
    <definedName name="CountryTable">[7]Table!$A$29:$BN$36</definedName>
    <definedName name="cover">'[8]Summary sheet!'!$Q$13:$Q$14</definedName>
    <definedName name="CurrBase" localSheetId="1">#REF!</definedName>
    <definedName name="CurrBase">#REF!</definedName>
    <definedName name="Currency" localSheetId="1">#REF!</definedName>
    <definedName name="Currency">#REF!</definedName>
    <definedName name="CurrencyLimit">100</definedName>
    <definedName name="CurrentMktSpend" localSheetId="1">#REF!</definedName>
    <definedName name="CurrentMktSpend">#REF!</definedName>
    <definedName name="CurrTable" localSheetId="1">OFFSET(#REF!,0,0,COUNTA(#REF!),4)</definedName>
    <definedName name="CurrTable">OFFSET(#REF!,0,0,COUNTA(#REF!),4)</definedName>
    <definedName name="CustAdv" localSheetId="1">#REF!</definedName>
    <definedName name="CustAdv">#REF!</definedName>
    <definedName name="Data" localSheetId="1">#REF!</definedName>
    <definedName name="Data">#REF!</definedName>
    <definedName name="Date" localSheetId="1">#REF!</definedName>
    <definedName name="Date">#REF!</definedName>
    <definedName name="DB" localSheetId="0">[5]Lookup!$N$1:$N$6</definedName>
    <definedName name="DB" localSheetId="3">[5]Lookup!$N$1:$N$6</definedName>
    <definedName name="DB">Lookup!$N$1:$N$6</definedName>
    <definedName name="DB_Implementation_Type">'[1]03-Target_DB_Configuration-OMF'!$AC$460:$AC$467</definedName>
    <definedName name="Discount">'[4]Price LIst'!$D$8</definedName>
    <definedName name="Duties" localSheetId="1">#REF!</definedName>
    <definedName name="Duties">#REF!</definedName>
    <definedName name="Duty" localSheetId="1">#REF!</definedName>
    <definedName name="Duty">#REF!</definedName>
    <definedName name="DynamicCountryList" localSheetId="1">OFFSET('High Level Discovery'!FirstCountry,0,0,COUNTA(OFFSET('High Level Discovery'!FirstCountry, 0, 0, [0]!CurrencyLimit,1)),1)</definedName>
    <definedName name="DynamicCountryList">OFFSET(FirstCountry,0,0,COUNTA(OFFSET(FirstCountry, 0, 0, CurrencyLimit,1)),1)</definedName>
    <definedName name="eBS">[9]Lookup!$L$1:$L$9</definedName>
    <definedName name="End_Bal" localSheetId="1">#REF!</definedName>
    <definedName name="End_Bal">#REF!</definedName>
    <definedName name="Endianess" localSheetId="1">#REF!</definedName>
    <definedName name="Endianess">#REF!</definedName>
    <definedName name="env" localSheetId="0">[5]Lookup!$J$1:$J$3</definedName>
    <definedName name="env" localSheetId="3">[5]Lookup!$J$1:$J$3</definedName>
    <definedName name="env">Lookup!$J$1:$J$3</definedName>
    <definedName name="esrc.prc_country.getExchangeRate_1" localSheetId="1">#REF!</definedName>
    <definedName name="esrc.prc_country.getExchangeRate_1">#REF!</definedName>
    <definedName name="Expertise" localSheetId="1">#REF!</definedName>
    <definedName name="Expertise">#REF!</definedName>
    <definedName name="Extra_Pay" localSheetId="1">#REF!</definedName>
    <definedName name="Extra_Pay">#REF!</definedName>
    <definedName name="FirstCountry" localSheetId="1">INDEX('High Level Discovery'!esrc.prc_country.getExchangeRate_1,1,1)</definedName>
    <definedName name="FirstCountry">INDEX([0]!esrc.prc_country.getExchangeRate_1,1,1)</definedName>
    <definedName name="FirstTimeRes" localSheetId="1">#REF!</definedName>
    <definedName name="FirstTimeRes">#REF!</definedName>
    <definedName name="Five_year_benefits">'[2]ROI summary'!$N$5:$N$24</definedName>
    <definedName name="Formatted_product_table" localSheetId="1">#REF!</definedName>
    <definedName name="Formatted_product_table">#REF!</definedName>
    <definedName name="Formatted_product_table_1" localSheetId="1">#REF!</definedName>
    <definedName name="Formatted_product_table_1">#REF!</definedName>
    <definedName name="FTE_Aggressive" localSheetId="1">#REF!</definedName>
    <definedName name="FTE_Aggressive">#REF!</definedName>
    <definedName name="FTE_Conservative" localSheetId="1">#REF!</definedName>
    <definedName name="FTE_Conservative">#REF!</definedName>
    <definedName name="FTE_display_flags" localSheetId="1">#REF!</definedName>
    <definedName name="FTE_display_flags">#REF!</definedName>
    <definedName name="FTE_include_flags" localSheetId="1">#REF!</definedName>
    <definedName name="FTE_include_flags">#REF!</definedName>
    <definedName name="FTE_Pragmatic" localSheetId="1">#REF!</definedName>
    <definedName name="FTE_Pragmatic">#REF!</definedName>
    <definedName name="Full_Print" localSheetId="1">#REF!</definedName>
    <definedName name="Full_Print">#REF!</definedName>
    <definedName name="FullCost" localSheetId="1">#REF!</definedName>
    <definedName name="FullCost">#REF!</definedName>
    <definedName name="FullCostAdmin" localSheetId="1">#REF!</definedName>
    <definedName name="FullCostAdmin">#REF!</definedName>
    <definedName name="FXRate" localSheetId="1">#REF!</definedName>
    <definedName name="FXRate">#REF!</definedName>
    <definedName name="Hardware_Pool">'[1]03-Target_DB_Configuration-OMF'!$AB$460:$AB$473</definedName>
    <definedName name="Header_Row" localSheetId="1">ROW(#REF!)</definedName>
    <definedName name="Header_Row">ROW(#REF!)</definedName>
    <definedName name="hours_per_month" localSheetId="1">#REF!</definedName>
    <definedName name="hours_per_month">#REF!</definedName>
    <definedName name="How_to_Set_Targets" localSheetId="1">#REF!</definedName>
    <definedName name="How_to_Set_Targets">#REF!</definedName>
    <definedName name="HowtosetImpact" localSheetId="1">#REF!</definedName>
    <definedName name="HowtosetImpact">#REF!</definedName>
    <definedName name="HTML_CodePage">1252</definedName>
    <definedName name="HTML_Control">{"'Price List '!$A$1:$R$156"}</definedName>
    <definedName name="HTML_Description">""</definedName>
    <definedName name="HTML_Email">""</definedName>
    <definedName name="HTML_Header">""</definedName>
    <definedName name="HTML_LastUpdate">""</definedName>
    <definedName name="HTML_LineAfter">FALSE</definedName>
    <definedName name="HTML_LineBefore">FALSE</definedName>
    <definedName name="HTML_Name">""</definedName>
    <definedName name="HTML_OBDlg2">TRUE</definedName>
    <definedName name="HTML_OBDlg4">TRUE</definedName>
    <definedName name="HTML_OS">0</definedName>
    <definedName name="HTML_PathFile">"C:\Temp\infoprice\051900\MyHTML.htm"</definedName>
    <definedName name="HTML_Title">"ePL5_19b"</definedName>
    <definedName name="HYP" localSheetId="0">[5]Lookup!$L$1:$L$6</definedName>
    <definedName name="HYP" localSheetId="3">[5]Lookup!$L$1:$L$6</definedName>
    <definedName name="HYP">Lookup!$L$1:$L$6</definedName>
    <definedName name="Industry_Data">'[10]Aggregated Metrics'!$A$7:$BW$25</definedName>
    <definedName name="industryComplexity" localSheetId="1">#REF!</definedName>
    <definedName name="industryComplexity">#REF!</definedName>
    <definedName name="Instructions" localSheetId="1">#REF!</definedName>
    <definedName name="Instructions">#REF!</definedName>
    <definedName name="Int" localSheetId="1">#REF!</definedName>
    <definedName name="Int">#REF!</definedName>
    <definedName name="Interest_Rate" localSheetId="1">#REF!</definedName>
    <definedName name="Interest_Rate">#REF!</definedName>
    <definedName name="Investment_table">'[2]Investment inputs'!$B$4:$I$15</definedName>
    <definedName name="K">[11]CALCULATIONS!$AP$1</definedName>
    <definedName name="Last_Row" localSheetId="1">IF('High Level Discovery'!Values_Entered,'High Level Discovery'!Header_Row+'High Level Discovery'!Number_of_Payments,'High Level Discovery'!Header_Row)</definedName>
    <definedName name="Last_Row">IF(Values_Entered,Header_Row+Number_of_Payments,Header_Row)</definedName>
    <definedName name="LastUpdate" localSheetId="1">#REF!</definedName>
    <definedName name="LastUpdate">#REF!</definedName>
    <definedName name="List_UC_Discount">'[12]Rate Card Discount Schedule'!$D$4:$H$9</definedName>
    <definedName name="Loan_Amount" localSheetId="1">#REF!</definedName>
    <definedName name="Loan_Amount">#REF!</definedName>
    <definedName name="Loan_Start" localSheetId="1">#REF!</definedName>
    <definedName name="Loan_Start">#REF!</definedName>
    <definedName name="Loan_Years" localSheetId="1">#REF!</definedName>
    <definedName name="Loan_Years">#REF!</definedName>
    <definedName name="LOV_Clustering">[13]Lookup!$B$2:$B$4</definedName>
    <definedName name="LOV_DatabaseVendors">[13]Lookup!$A$2:$A$13</definedName>
    <definedName name="LOV_OperatingSystems">[13]Lookup!$D$2:$D$7</definedName>
    <definedName name="ManAdmin" localSheetId="1">#REF!</definedName>
    <definedName name="ManAdmin">#REF!</definedName>
    <definedName name="Margin">'[4]Price LIst'!$D$10</definedName>
    <definedName name="micro" localSheetId="1">#REF!</definedName>
    <definedName name="micro">#REF!</definedName>
    <definedName name="MktingLeadsPA" localSheetId="1">#REF!</definedName>
    <definedName name="MktingLeadsPA">#REF!</definedName>
    <definedName name="MNP" localSheetId="1">#REF!</definedName>
    <definedName name="MNP">#REF!</definedName>
    <definedName name="Month" localSheetId="1">#REF!</definedName>
    <definedName name="Month">#REF!</definedName>
    <definedName name="MTApps" localSheetId="1" hidden="1">#REF!</definedName>
    <definedName name="MTApps" hidden="1">#REF!</definedName>
    <definedName name="Network">'[14]Summary sheet!'!$Q$19:$Q$21</definedName>
    <definedName name="New_Target_SID">'[1]03-Target_DB_Configuration-OMF'!$C$4</definedName>
    <definedName name="none">'[8]Summary sheet!'!$Q$55:$Q$58</definedName>
    <definedName name="NonProductive" localSheetId="1">#REF!</definedName>
    <definedName name="NonProductive">#REF!</definedName>
    <definedName name="Num_Pmt_Per_Year" localSheetId="1">#REF!</definedName>
    <definedName name="Num_Pmt_Per_Year">#REF!</definedName>
    <definedName name="NumAdmin" localSheetId="1">#REF!</definedName>
    <definedName name="NumAdmin">#REF!</definedName>
    <definedName name="Number_of_Payments" localSheetId="1">MATCH(0.01,'High Level Discovery'!End_Bal,-1)+1</definedName>
    <definedName name="Number_of_Payments">MATCH(0.01,End_Bal,-1)+1</definedName>
    <definedName name="NumbUsers" localSheetId="1">'[15]TCO Calc'!#REF!</definedName>
    <definedName name="NumbUsers">'[15]TCO Calc'!#REF!</definedName>
    <definedName name="NumCusts" localSheetId="1">#REF!</definedName>
    <definedName name="NumCusts">#REF!</definedName>
    <definedName name="NumMts" localSheetId="1">#REF!</definedName>
    <definedName name="NumMts">#REF!</definedName>
    <definedName name="NumReps" localSheetId="1">#REF!</definedName>
    <definedName name="NumReps">#REF!</definedName>
    <definedName name="NumSalesAdmin" localSheetId="1">#REF!</definedName>
    <definedName name="NumSalesAdmin">#REF!</definedName>
    <definedName name="NumUse" localSheetId="1">'[15]TCO Calc'!#REF!</definedName>
    <definedName name="NumUse">'[15]TCO Calc'!#REF!</definedName>
    <definedName name="NumUsers" localSheetId="1">'[15]TCO Calc'!#REF!</definedName>
    <definedName name="NumUsers">'[15]TCO Calc'!#REF!</definedName>
    <definedName name="On_Prem_Labor_total_labor" localSheetId="1">#REF!</definedName>
    <definedName name="On_Prem_Labor_total_labor">#REF!</definedName>
    <definedName name="On_Prem_Labor_total_network_cost" localSheetId="1">#REF!</definedName>
    <definedName name="On_Prem_Labor_total_network_cost">#REF!</definedName>
    <definedName name="On_Prem_Labor_total_srvr_cost" localSheetId="1">#REF!</definedName>
    <definedName name="On_Prem_Labor_total_srvr_cost">#REF!</definedName>
    <definedName name="On_Prem_Labor_total_stg_cost" localSheetId="1">#REF!</definedName>
    <definedName name="On_Prem_Labor_total_stg_cost">#REF!</definedName>
    <definedName name="On_Prem_stg_hdw_raw" localSheetId="1">#REF!</definedName>
    <definedName name="On_Prem_stg_hdw_raw">#REF!</definedName>
    <definedName name="OnNetLaunch">'[16]Trend Calculation'!$N$60</definedName>
    <definedName name="OnPremSW" localSheetId="1">'[15]TCO Calc'!#REF!</definedName>
    <definedName name="OnPremSW">'[15]TCO Calc'!#REF!</definedName>
    <definedName name="Operations" localSheetId="1">#REF!</definedName>
    <definedName name="Operations">#REF!</definedName>
    <definedName name="organization">'[1]04A-Migration-Runbook'!$E$39:$E$42</definedName>
    <definedName name="ot_benefit_table">'[2]Benefits summary'!$C$21:$I$25</definedName>
    <definedName name="otb_tab_list">'[2]Benefits summary'!$A$89:$A$97</definedName>
    <definedName name="Pay_Date" localSheetId="1">#REF!</definedName>
    <definedName name="Pay_Date">#REF!</definedName>
    <definedName name="Pay_Num" localSheetId="1">#REF!</definedName>
    <definedName name="Pay_Num">#REF!</definedName>
    <definedName name="Payment_Date" localSheetId="1">DATE(YEAR('High Level Discovery'!Loan_Start),MONTH('High Level Discovery'!Loan_Start)+Payment_Number,DAY('High Level Discovery'!Loan_Start))</definedName>
    <definedName name="Payment_Date">DATE(YEAR(Loan_Start),MONTH(Loan_Start)+Payment_Number,DAY(Loan_Start))</definedName>
    <definedName name="perf">Lookup!$A$1:$A$3</definedName>
    <definedName name="phase">'[1]04A-Migration-Runbook'!$D$39:$D$43</definedName>
    <definedName name="Pnumber" localSheetId="1">#REF!</definedName>
    <definedName name="Pnumber">#REF!</definedName>
    <definedName name="PostDataEv" localSheetId="1">#REF!</definedName>
    <definedName name="PostDataEv">#REF!</definedName>
    <definedName name="PostIncIntEv" localSheetId="1">#REF!</definedName>
    <definedName name="PostIncIntEv">#REF!</definedName>
    <definedName name="PostIncOffNetEv" localSheetId="1">#REF!</definedName>
    <definedName name="PostIncOffNetEv">#REF!</definedName>
    <definedName name="PostIncOnNetEv" localSheetId="1">#REF!</definedName>
    <definedName name="PostIncOnNetEv">#REF!</definedName>
    <definedName name="PostIncSEv" localSheetId="1">#REF!</definedName>
    <definedName name="PostIncSEv">#REF!</definedName>
    <definedName name="PostIntEv" localSheetId="1">#REF!</definedName>
    <definedName name="PostIntEv">#REF!</definedName>
    <definedName name="PostLocEv" localSheetId="1">#REF!</definedName>
    <definedName name="PostLocEv">#REF!</definedName>
    <definedName name="PostRoamIncEv" localSheetId="1">#REF!</definedName>
    <definedName name="PostRoamIncEv">#REF!</definedName>
    <definedName name="PostRoamOutEv" localSheetId="1">#REF!</definedName>
    <definedName name="PostRoamOutEv">#REF!</definedName>
    <definedName name="PostSIntEv" localSheetId="1">#REF!</definedName>
    <definedName name="PostSIntEv">#REF!</definedName>
    <definedName name="PostSLocEv" localSheetId="1">#REF!</definedName>
    <definedName name="PostSLocEv">#REF!</definedName>
    <definedName name="PrepDataEv" localSheetId="1">#REF!</definedName>
    <definedName name="PrepDataEv">#REF!</definedName>
    <definedName name="PrepIncIntEv" localSheetId="1">#REF!</definedName>
    <definedName name="PrepIncIntEv">#REF!</definedName>
    <definedName name="PrepIncOffNetEv" localSheetId="1">#REF!</definedName>
    <definedName name="PrepIncOffNetEv">#REF!</definedName>
    <definedName name="PrepIncOnNetEv" localSheetId="1">#REF!</definedName>
    <definedName name="PrepIncOnNetEv">#REF!</definedName>
    <definedName name="PrepIncSEv" localSheetId="1">#REF!</definedName>
    <definedName name="PrepIncSEv">#REF!</definedName>
    <definedName name="PrepIntOPEv" localSheetId="1">#REF!</definedName>
    <definedName name="PrepIntOPEv">#REF!</definedName>
    <definedName name="PrepIntPEv" localSheetId="1">#REF!</definedName>
    <definedName name="PrepIntPEv">#REF!</definedName>
    <definedName name="PrepIntSEv" localSheetId="1">#REF!</definedName>
    <definedName name="PrepIntSEv">#REF!</definedName>
    <definedName name="PrepOffNetEv" localSheetId="1">#REF!</definedName>
    <definedName name="PrepOffNetEv">#REF!</definedName>
    <definedName name="PrepOnNetEv" localSheetId="1">#REF!</definedName>
    <definedName name="PrepOnNetEv">#REF!</definedName>
    <definedName name="PrepRoamEv" localSheetId="1">#REF!</definedName>
    <definedName name="PrepRoamEv">#REF!</definedName>
    <definedName name="PrepSOffNetEv" localSheetId="1">#REF!</definedName>
    <definedName name="PrepSOffNetEv">#REF!</definedName>
    <definedName name="PrepSOnNetEv" localSheetId="1">#REF!</definedName>
    <definedName name="PrepSOnNetEv">#REF!</definedName>
    <definedName name="Pricing">'[2]Benefits summary'!$E$31:$E$50</definedName>
    <definedName name="Princ" localSheetId="1">#REF!</definedName>
    <definedName name="Princ">#REF!</definedName>
    <definedName name="Print_Area_Reset" localSheetId="1">OFFSET('High Level Discovery'!Full_Print,0,0,'High Level Discovery'!Last_Row)</definedName>
    <definedName name="Print_Area_Reset">OFFSET(Full_Print,0,0,Last_Row)</definedName>
    <definedName name="ProdRev" localSheetId="1">#REF!</definedName>
    <definedName name="ProdRev">#REF!</definedName>
    <definedName name="ProdsPerCust" localSheetId="1">#REF!</definedName>
    <definedName name="ProdsPerCust">#REF!</definedName>
    <definedName name="Product_display_flags" localSheetId="1">#REF!,#REF!</definedName>
    <definedName name="Product_display_flags">#REF!,#REF!</definedName>
    <definedName name="Proj_n">[11]INPUT!$C$5</definedName>
    <definedName name="Proj_name">[11]INPUT!$C$4</definedName>
    <definedName name="rate" localSheetId="1">#REF!</definedName>
    <definedName name="rate">#REF!</definedName>
    <definedName name="RepHourlyCost" localSheetId="1">#REF!</definedName>
    <definedName name="RepHourlyCost">#REF!</definedName>
    <definedName name="ROI_display_flags">'[2]ROI summary'!$L$5:$L$24,'[2]ROI summary'!$L$28:$L$39</definedName>
    <definedName name="SaaSPM" localSheetId="1">'[15]TCO Calc'!#REF!</definedName>
    <definedName name="SaaSPM">'[15]TCO Calc'!#REF!</definedName>
    <definedName name="SalesCycle" localSheetId="1">#REF!</definedName>
    <definedName name="SalesCycle">#REF!</definedName>
    <definedName name="Sched_Pay" localSheetId="1">#REF!</definedName>
    <definedName name="Sched_Pay">#REF!</definedName>
    <definedName name="Scheduled_Extra_Payments" localSheetId="1">#REF!</definedName>
    <definedName name="Scheduled_Extra_Payments">#REF!</definedName>
    <definedName name="Scheduled_Interest_Rate" localSheetId="1">#REF!</definedName>
    <definedName name="Scheduled_Interest_Rate">#REF!</definedName>
    <definedName name="Scheduled_Monthly_Payment" localSheetId="1">#REF!</definedName>
    <definedName name="Scheduled_Monthly_Payment">#REF!</definedName>
    <definedName name="sctCCY">[4]Sheet2!$F$11</definedName>
    <definedName name="Segment">'[14]Summary sheet!'!$Q$71:$Q$73</definedName>
    <definedName name="Server_name">'[1]03-Target_DB_Configuration-OMF'!$AG$460:$AG$531</definedName>
    <definedName name="Server_Role_DR">'[1]03-Target_DB_Configuration-OMF'!$AF$460:$AF$463</definedName>
    <definedName name="Server_Role_prim">'[1]03-Target_DB_Configuration-OMF'!$AE$460:$AE$465</definedName>
    <definedName name="Servers" localSheetId="1" hidden="1">#REF!</definedName>
    <definedName name="Servers" hidden="1">#REF!</definedName>
    <definedName name="Service">'[14]Summary sheet!'!$Q$22:$Q$24</definedName>
    <definedName name="ServiceCharge">[4]Sheet2!$B$3:$C$8</definedName>
    <definedName name="Shipment" localSheetId="1">#REF!</definedName>
    <definedName name="Shipment">#REF!</definedName>
    <definedName name="SID" hidden="1">"Cpavan"</definedName>
    <definedName name="Source_Database_Instance">'[1]01-Discovery-OMF'!$D$12</definedName>
    <definedName name="Source_Database_Server">'[1]01-Discovery-OMF'!$D$14</definedName>
    <definedName name="Source_Datacenter">'[1]01-Discovery-OMF'!$E$70:$E$78</definedName>
    <definedName name="Source_Service_Level">'[1]01-Discovery-OMF'!$C$70:$C$74</definedName>
    <definedName name="source_service_level_value_choosen">'[1]01-Discovery-OMF'!$E$20</definedName>
    <definedName name="SPWD" hidden="1">"pepsico"</definedName>
    <definedName name="ss_benefit_table">'[2]Benefits summary'!$C$4:$I$18</definedName>
    <definedName name="ssb_tab_list">'[2]Benefits summary'!$A$71:$A$84</definedName>
    <definedName name="Staff" localSheetId="1">#REF!</definedName>
    <definedName name="Staff">#REF!</definedName>
    <definedName name="Status">'[14]Summary sheet!'!$Q$55:$Q$58</definedName>
    <definedName name="Sun" localSheetId="1">#REF!</definedName>
    <definedName name="Sun">#REF!</definedName>
    <definedName name="Suncat" localSheetId="1">#REF!</definedName>
    <definedName name="Suncat">#REF!</definedName>
    <definedName name="sunmicro" localSheetId="1">#REF!</definedName>
    <definedName name="sunmicro">#REF!</definedName>
    <definedName name="Symbol" localSheetId="1">#REF!</definedName>
    <definedName name="Symbol">#REF!</definedName>
    <definedName name="System">'[17]M-Values'!$B$2:$B$1048576</definedName>
    <definedName name="tab02_Yes_No">'[1]02-Analysis-OMF'!$E$116:$E$117</definedName>
    <definedName name="Target_Datacenter">'[1]03-Target_DB_Configuration-OMF'!$AA$460:$AA$464</definedName>
    <definedName name="Target_service_level_poplist">'[1]03-Target_DB_Configuration-OMF'!$W$460:$W$464</definedName>
    <definedName name="Template1" localSheetId="1" hidden="1">'[18]Current - High STD'!#REF!</definedName>
    <definedName name="Template1" hidden="1">'[18]Current - High STD'!#REF!</definedName>
    <definedName name="thousand">[19]N!$A$2</definedName>
    <definedName name="TimeFrame" localSheetId="1">#REF!</definedName>
    <definedName name="TimeFrame">#REF!</definedName>
    <definedName name="Total_Interest" localSheetId="1">#REF!</definedName>
    <definedName name="Total_Interest">#REF!</definedName>
    <definedName name="Total_Pay" localSheetId="1">#REF!</definedName>
    <definedName name="Total_Pay">#REF!</definedName>
    <definedName name="Total_Payment" localSheetId="1">Scheduled_Payment+Extra_Payment</definedName>
    <definedName name="Total_Payment">Scheduled_Payment+Extra_Payment</definedName>
    <definedName name="Type">'[14]Summary sheet!'!$Q$13:$Q$14</definedName>
    <definedName name="UC_Buying_Mode" localSheetId="1">#REF!</definedName>
    <definedName name="UC_Buying_Mode">#REF!</definedName>
    <definedName name="UC_Term">'[17]Oracle DB SW prices'!$AC$1:$AC$2</definedName>
    <definedName name="UpdatePostSubs" localSheetId="1">#REF!</definedName>
    <definedName name="UpdatePostSubs">#REF!</definedName>
    <definedName name="UpdatePrepSubs" localSheetId="1">#REF!</definedName>
    <definedName name="UpdatePrepSubs">#REF!</definedName>
    <definedName name="usdaed">[19]N!$A$3</definedName>
    <definedName name="Values_Entered" localSheetId="1">IF('High Level Discovery'!Loan_Amount*'High Level Discovery'!Interest_Rate*'High Level Discovery'!Loan_Years*'High Level Discovery'!Loan_Start&gt;0,1,0)</definedName>
    <definedName name="Values_Entered">IF(Loan_Amount*Interest_Rate*Loan_Years*Loan_Start&gt;0,1,0)</definedName>
    <definedName name="valuevx">42.314159</definedName>
    <definedName name="vend" localSheetId="0">[5]Lookup!$H$1:$H$3</definedName>
    <definedName name="vend" localSheetId="3">[5]Lookup!$H$1:$H$3</definedName>
    <definedName name="vend">Lookup!$H$1:$H$3</definedName>
    <definedName name="vendor" localSheetId="0">[5]Lookup!$S$2:$S$57</definedName>
    <definedName name="vendor" localSheetId="3">[5]Lookup!$S$2:$S$57</definedName>
    <definedName name="vendor">Lookup!$S$2:$S$57</definedName>
    <definedName name="wacc">[2]Data!$C$12</definedName>
    <definedName name="wlest_comp" localSheetId="1">#REF!</definedName>
    <definedName name="wlest_comp">#REF!</definedName>
    <definedName name="wlest_e" localSheetId="1">#REF!</definedName>
    <definedName name="wlest_e">#REF!</definedName>
    <definedName name="wlest_med" localSheetId="1">#REF!</definedName>
    <definedName name="wlest_med">#REF!</definedName>
    <definedName name="wlest_vcomp" localSheetId="1">#REF!</definedName>
    <definedName name="wlest_vcomp">#REF!</definedName>
    <definedName name="wlest_ve" localSheetId="1">#REF!</definedName>
    <definedName name="wlest_ve">#REF!</definedName>
    <definedName name="wrn.Print._.Package." hidden="1">{#N/A,#N/A,FALSE,"COBO";#N/A,#N/A,FALSE,"Atlantic";#N/A,#N/A,FALSE,"NCalif";#N/A,#N/A,FALSE,"SCalif";#N/A,#N/A,FALSE,"Eastern";#N/A,#N/A,FALSE,"Florida";#N/A,#N/A,FALSE,"GreatWest";#N/A,#N/A,FALSE,"Heartland";#N/A,#N/A,FALSE,"Michigan";#N/A,#N/A,FALSE,"Northwest";#N/A,#N/A,FALSE,"Southeast";#N/A,#N/A,FALSE,"Texoma"}</definedName>
    <definedName name="Y_N" localSheetId="1">#REF!</definedName>
    <definedName name="Y_N">#REF!</definedName>
    <definedName name="Year" localSheetId="1">#REF!</definedName>
    <definedName name="Year">#REF!</definedName>
    <definedName name="yes">Lookup!$Q$1:$Q$2</definedName>
    <definedName name="Yes_No">'[1]03-Target_DB_Configuration-OMF'!$AD$460:$AD$461</definedName>
    <definedName name="YouMeLaunch">'[16]Trend Calculation'!$N$59</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8" i="27" l="1"/>
  <c r="H19" i="27" s="1"/>
  <c r="H20" i="27" s="1"/>
  <c r="H21" i="27" s="1"/>
  <c r="H22" i="27" s="1"/>
  <c r="B18" i="27"/>
  <c r="B19" i="27" s="1"/>
  <c r="B20" i="27" s="1"/>
  <c r="B27" i="26" l="1"/>
  <c r="B28" i="26" s="1"/>
  <c r="B29" i="26" s="1"/>
  <c r="B30" i="26" s="1"/>
  <c r="H10" i="26"/>
  <c r="H11" i="26" s="1"/>
  <c r="H12" i="26" s="1"/>
  <c r="H13" i="26" s="1"/>
  <c r="H14" i="26" s="1"/>
  <c r="H15" i="26" s="1"/>
  <c r="H16" i="26" s="1"/>
  <c r="B12" i="26"/>
  <c r="B13" i="26" s="1"/>
</calcChain>
</file>

<file path=xl/sharedStrings.xml><?xml version="1.0" encoding="utf-8"?>
<sst xmlns="http://schemas.openxmlformats.org/spreadsheetml/2006/main" count="383" uniqueCount="267">
  <si>
    <t>-</t>
  </si>
  <si>
    <t>Vendor</t>
  </si>
  <si>
    <t>ACTION S.A.</t>
  </si>
  <si>
    <t>ASUS Computer International</t>
  </si>
  <si>
    <t>ASUSTeK Computer Inc.</t>
  </si>
  <si>
    <t>Acer Incorporated</t>
  </si>
  <si>
    <t>Apple Computer, Inc.</t>
  </si>
  <si>
    <t>Apple, Inc.</t>
  </si>
  <si>
    <t>BOXX Technologies, Inc.</t>
  </si>
  <si>
    <t>Bull SAS</t>
  </si>
  <si>
    <t>Cisco Systems</t>
  </si>
  <si>
    <t>ClearCube Technology</t>
  </si>
  <si>
    <t>Clevo</t>
  </si>
  <si>
    <t>Cryo Performance Computing Ltd</t>
  </si>
  <si>
    <t>Dell Inc.</t>
  </si>
  <si>
    <t>E4 Computer Engineering S.p.A.</t>
  </si>
  <si>
    <t>FORMAT</t>
  </si>
  <si>
    <t>Fujitsu</t>
  </si>
  <si>
    <t>Fujitsu Limited</t>
  </si>
  <si>
    <t>Fujitsu Siemens Computers</t>
  </si>
  <si>
    <t>GIGA-BYTE Technology Co. Ltd.</t>
  </si>
  <si>
    <t>Gigabyte Technology Co., Ltd.</t>
  </si>
  <si>
    <t>H3C</t>
  </si>
  <si>
    <t>HITACHI</t>
  </si>
  <si>
    <t>HPE</t>
  </si>
  <si>
    <t>Hewlett Packard Enterprise</t>
  </si>
  <si>
    <t>Hewlett-Packard Company</t>
  </si>
  <si>
    <t>Huawei</t>
  </si>
  <si>
    <t>IBM</t>
  </si>
  <si>
    <t>IBM Corporation</t>
  </si>
  <si>
    <t>Incom S.A.</t>
  </si>
  <si>
    <t>Inspur Corporation</t>
  </si>
  <si>
    <t>Intel Corporation</t>
  </si>
  <si>
    <t>Itautec</t>
  </si>
  <si>
    <t>J.P Sa Couto S.A.</t>
  </si>
  <si>
    <t>Lenovo Group Limited</t>
  </si>
  <si>
    <t>MSI</t>
  </si>
  <si>
    <t>Maxdata AG</t>
  </si>
  <si>
    <t>Microsoft Corporation</t>
  </si>
  <si>
    <t>NEC Corporation</t>
  </si>
  <si>
    <t>NTT System S. A.</t>
  </si>
  <si>
    <t>Oracle</t>
  </si>
  <si>
    <t>Oracle Corporation</t>
  </si>
  <si>
    <t>PC Factory S.A.</t>
  </si>
  <si>
    <t>Quanta Computer Inc.</t>
  </si>
  <si>
    <t>SGI</t>
  </si>
  <si>
    <t>ScaleMP</t>
  </si>
  <si>
    <t>Shuttle</t>
  </si>
  <si>
    <t>Sugon</t>
  </si>
  <si>
    <t>Sun Microsystems</t>
  </si>
  <si>
    <t>Super-micro</t>
  </si>
  <si>
    <t>Supermicro</t>
  </si>
  <si>
    <t>Tyan</t>
  </si>
  <si>
    <t>Unisys Corporation</t>
  </si>
  <si>
    <t>Wipro Limited</t>
  </si>
  <si>
    <t>YOYOtech</t>
  </si>
  <si>
    <t>ZTE</t>
  </si>
  <si>
    <t>Answer</t>
  </si>
  <si>
    <t>Backup Strategy</t>
  </si>
  <si>
    <t>Average Memory Utilization</t>
  </si>
  <si>
    <t>Application / DB Name</t>
  </si>
  <si>
    <t>Application / Database Vendor</t>
  </si>
  <si>
    <t>Function Description</t>
  </si>
  <si>
    <t>Server/Host Name</t>
  </si>
  <si>
    <t>Environment Lifecycle</t>
  </si>
  <si>
    <t>Data Center Location</t>
  </si>
  <si>
    <t>Server Model Name</t>
  </si>
  <si>
    <t>CPU Model Name</t>
  </si>
  <si>
    <t>CPU Speed</t>
  </si>
  <si>
    <t># of CPU Sockets per Server</t>
  </si>
  <si>
    <t># of Physical Cores per CPU</t>
  </si>
  <si>
    <t>Memory Size</t>
  </si>
  <si>
    <t>App / DB Version</t>
  </si>
  <si>
    <t>Operating System Version</t>
  </si>
  <si>
    <t>Physical or Virtual</t>
  </si>
  <si>
    <t>Hypervisory</t>
  </si>
  <si>
    <t>Hypervisory Version</t>
  </si>
  <si>
    <t>Example</t>
  </si>
  <si>
    <t>Primary-DC</t>
  </si>
  <si>
    <t>No</t>
  </si>
  <si>
    <t>Virtual</t>
  </si>
  <si>
    <t>VMWare</t>
  </si>
  <si>
    <t>ESXi 6</t>
  </si>
  <si>
    <t xml:space="preserve">Cold 2 Copies </t>
  </si>
  <si>
    <t>HP Integrity BL890c i4</t>
  </si>
  <si>
    <t>Intel Itanium 9560</t>
  </si>
  <si>
    <t>2.8 GHz</t>
  </si>
  <si>
    <t>32 GB</t>
  </si>
  <si>
    <t>Oracle DB 11.2.0.4</t>
  </si>
  <si>
    <t>Redhat Linux 6.5</t>
  </si>
  <si>
    <t>Physical</t>
  </si>
  <si>
    <t>4 Copies: Full Level 0 on Friday and Daily incremental</t>
  </si>
  <si>
    <t>Microsoft</t>
  </si>
  <si>
    <t>DR</t>
  </si>
  <si>
    <t>When was the last version upgrade of that application?</t>
  </si>
  <si>
    <t>Is the application hosted internally or at an external datacenter? (If external datacenter what connection type and bandwidth is used?)</t>
  </si>
  <si>
    <t>Is SSL configured and used? If yes what type (e.g. Full SSL or SSL-off-loading)?</t>
  </si>
  <si>
    <t>Tier</t>
  </si>
  <si>
    <t>Bastion</t>
  </si>
  <si>
    <t>yes</t>
  </si>
  <si>
    <t>Oracle Database</t>
  </si>
  <si>
    <t>Storage</t>
  </si>
  <si>
    <t>Others</t>
  </si>
  <si>
    <t>Lower Cost</t>
  </si>
  <si>
    <t>Balanced</t>
  </si>
  <si>
    <t>Higher Cost</t>
  </si>
  <si>
    <t>MSSql Server</t>
  </si>
  <si>
    <t>Production</t>
  </si>
  <si>
    <t>Non-Production</t>
  </si>
  <si>
    <t>Web tier</t>
  </si>
  <si>
    <t>Application tier</t>
  </si>
  <si>
    <t>Database tier</t>
  </si>
  <si>
    <t>Other</t>
  </si>
  <si>
    <t>Server Acquisition Year</t>
  </si>
  <si>
    <t>Average CPU Utilization</t>
  </si>
  <si>
    <t>Peak CPU Utilization</t>
  </si>
  <si>
    <t>Peak Memory Utilization</t>
  </si>
  <si>
    <t>Clustered Environment</t>
  </si>
  <si>
    <t>Comments</t>
  </si>
  <si>
    <t>App / DB Storage Size (GB)</t>
  </si>
  <si>
    <t>Oracle DB 11.1.2.0.4</t>
  </si>
  <si>
    <t>Oracle DB 12c</t>
  </si>
  <si>
    <t>Oracle DB 18c</t>
  </si>
  <si>
    <t>Oracle DB 19c</t>
  </si>
  <si>
    <t>Oracle DB 20c</t>
  </si>
  <si>
    <t>no</t>
  </si>
  <si>
    <t>Web-Tier</t>
  </si>
  <si>
    <t>Siebel Server</t>
  </si>
  <si>
    <t>Siebel IP 15</t>
  </si>
  <si>
    <t>Siebel IP 16</t>
  </si>
  <si>
    <t>Siebel IP 17</t>
  </si>
  <si>
    <t>Siebel update 18.x</t>
  </si>
  <si>
    <t>Siebel update 19.x</t>
  </si>
  <si>
    <t>Siebel update 20.x</t>
  </si>
  <si>
    <t>Components</t>
  </si>
  <si>
    <t>Application Tier</t>
  </si>
  <si>
    <t>DB Tier</t>
  </si>
  <si>
    <t>What is the growth rate for your Siebel Database YoY? (if not exact please make a rough estimation)</t>
  </si>
  <si>
    <t>What is the type of authentication being used currently?  Details of authentication server &amp; client?</t>
  </si>
  <si>
    <t>Are you using OpenUI for your current Siebel implementation or it is still using High Interactivity</t>
  </si>
  <si>
    <t>What is your current data transfer/migration basis (Daily, Monthly, Quarterly, yearly), migration tools, and what is the average data migration size?</t>
  </si>
  <si>
    <t>Generic</t>
  </si>
  <si>
    <t>What is the total number of users for the application?</t>
  </si>
  <si>
    <t>How do end users access the application (VPN, Internet, Citrix or other RDP systems)? Will that change in the future?</t>
  </si>
  <si>
    <t>What monitoring features are currently in place for the environment?</t>
  </si>
  <si>
    <t>List any 3rd party system integrated with the current environment and give details of any such integration?</t>
  </si>
  <si>
    <t>What is the backup strategy(frequency, increments and targets,...) in place?</t>
  </si>
  <si>
    <t>Are you aware of any existing issues (performance, stability, scalability) on the existing environment(s)?</t>
  </si>
  <si>
    <t>Are there any special security mechanisms implemented in the existing environment?</t>
  </si>
  <si>
    <t>Is there any DMZ setup or any external tiers?</t>
  </si>
  <si>
    <t>Who manages the current environment? (Oracle Consulting, Oracle Partner, customer)</t>
  </si>
  <si>
    <t>OM</t>
  </si>
  <si>
    <t>Intel(R) Xeon(R) CPU E5-2699 v4 @ 2.20GHz</t>
  </si>
  <si>
    <t>2.2 GHz</t>
  </si>
  <si>
    <t>OEL 6</t>
  </si>
  <si>
    <t>Yes</t>
  </si>
  <si>
    <t>Siebel Database</t>
  </si>
  <si>
    <t>Load balancer</t>
  </si>
  <si>
    <t>Application Interface</t>
  </si>
  <si>
    <t>Cloud Gateway</t>
  </si>
  <si>
    <t>MS Sql Server</t>
  </si>
  <si>
    <t xml:space="preserve">DB Character set </t>
  </si>
  <si>
    <t>Maximum acceptable downtime for the production migration (please specify in hours)</t>
  </si>
  <si>
    <t>Instance Name</t>
  </si>
  <si>
    <t>Can you please provide the current Solution/Network/Security Architecture diagram?</t>
  </si>
  <si>
    <t>Frankfurt, Dubai, UK…etc.</t>
  </si>
  <si>
    <t>12 hours (8am - 8 Pm on Friday/Public holiday)</t>
  </si>
  <si>
    <t>VPN, Internet, Citrix or other RDP systems</t>
  </si>
  <si>
    <t>Oracle Enterprise Manager - AMS.</t>
  </si>
  <si>
    <t>1. POS
2. FlexCube.
3. Hadoop.
4. BI Publisher
5. EDQ.
6….etc.</t>
  </si>
  <si>
    <t>1. Database.
2. csv files
3. Analytics</t>
  </si>
  <si>
    <t xml:space="preserve">Who did implement the current environment? </t>
  </si>
  <si>
    <t>What is the customer’s classification of information/data used in the application?</t>
  </si>
  <si>
    <t>Are there any ODI interfaces between Oracle Application and other applications? If yes, please describe in detail.</t>
  </si>
  <si>
    <t xml:space="preserve">In case your Oracle Application is NOT running on one of the OCI supported OS (CentOS, Oracle Linux 6.x, 7.x, 8.x, Windows Server 2012, 2016, 2019) have you implemented any call to OS functions? </t>
  </si>
  <si>
    <t>Is the current Oracle Application augmented with any other Oracle Cloud products? Please elaborate.</t>
  </si>
  <si>
    <t>Is Oracle Application being accessed by your customers (External users) (e.g. e-module or i-module)? Please elaborate and highlight any security concerns.</t>
  </si>
  <si>
    <t>Web1</t>
  </si>
  <si>
    <t xml:space="preserve">Siebel Web application </t>
  </si>
  <si>
    <t>Sbl-websrv</t>
  </si>
  <si>
    <t>Primary DC - UK - London</t>
  </si>
  <si>
    <t>UTF8</t>
  </si>
  <si>
    <t>RHEL 6.7</t>
  </si>
  <si>
    <t>Cold 2 Copies.
Daily Backup for Webtemplates, images @8:00 AM on a shared storage with 1 GB.</t>
  </si>
  <si>
    <t>File System</t>
  </si>
  <si>
    <t>Version 1.0</t>
  </si>
  <si>
    <t>Date</t>
  </si>
  <si>
    <t>Customer Company Name</t>
  </si>
  <si>
    <t>Oracle Sales Representative Name</t>
  </si>
  <si>
    <t>Opportunity ID</t>
  </si>
  <si>
    <t>Required Inputs</t>
  </si>
  <si>
    <t>Optional Inputs</t>
  </si>
  <si>
    <t>#</t>
  </si>
  <si>
    <t>Statement</t>
  </si>
  <si>
    <t>Score</t>
  </si>
  <si>
    <t>Notes/Details</t>
  </si>
  <si>
    <t>Source</t>
  </si>
  <si>
    <t>Siebel Application is capable of supporting the business strategy &amp; objectives for at least the next 3 years.</t>
  </si>
  <si>
    <t>Customer Input</t>
  </si>
  <si>
    <t>There is an appetite in the business community for changing or replacing Siebel</t>
  </si>
  <si>
    <t>Improving Siebel is a top priority project, relative to other business projects.</t>
  </si>
  <si>
    <t>The organization is keen to invest in the existing Siebel Application.</t>
  </si>
  <si>
    <t>The organization is likely to invest in a replacement CRM/CX in the next 2-3 years.</t>
  </si>
  <si>
    <t>7a</t>
  </si>
  <si>
    <t>There is demand for innovation in Customer Relationship Management.</t>
  </si>
  <si>
    <t>There is a significant level of Siebel knowledge in the organization.</t>
  </si>
  <si>
    <t>Siebel is viewed as a critical system to the organization.
I.e. What would be the impact on the organization If the system stopped working.</t>
  </si>
  <si>
    <t>The organization's IT function views Oracle Corporation as a strategic partner.</t>
  </si>
  <si>
    <t>Overall, the users view Siebel as fit for purpose.</t>
  </si>
  <si>
    <t>Overall, Siebel is viewed as providing value for money to the organization.</t>
  </si>
  <si>
    <t>What is the annual cost of the System Maintenance contract?</t>
  </si>
  <si>
    <t>When is the renewal of the contract due, with the organization who maintains Siebel?</t>
  </si>
  <si>
    <t>What is the annual cost of the System Implementation contract?</t>
  </si>
  <si>
    <t>What is the annual cost of the Oracle Support contract?</t>
  </si>
  <si>
    <t>There is an approved budget to invest in improving or replacing Siebel</t>
  </si>
  <si>
    <t>Please specify which modules of Siebel  are in use, and how many named users are using each module.</t>
  </si>
  <si>
    <t>Siebel has been extensively customized.
I.e. There are a large number and complexity of CEMLIs.</t>
  </si>
  <si>
    <t>What version of the Siebel is in use?</t>
  </si>
  <si>
    <t>There are a large number of Integration points to Siebel
Please specify the number and complexity (1=simple, 5=complex) of each Integration Point.</t>
  </si>
  <si>
    <t>The IT Infrastructure underlying Siebel is fit for purpose.</t>
  </si>
  <si>
    <t>Please specify what Hardware and Operating System is being used to support Siebel?</t>
  </si>
  <si>
    <t>How many Non-Production Environments of Siebel are in use?
Please specify their purpose.</t>
  </si>
  <si>
    <t>Is there a Disaster Recovery Environment in place?</t>
  </si>
  <si>
    <t>What is the Recovery Time for Siebel production environment in the event of a failure that requires the use of the Disaster Recovery environment?</t>
  </si>
  <si>
    <t>What is the Recovery Point for Siebel production environment in the event of a failure that requires the use of the Disaster Recovery environment?</t>
  </si>
  <si>
    <t>When does the hardware underlying Siebel need refreshing/replacing?</t>
  </si>
  <si>
    <t>Factor</t>
  </si>
  <si>
    <t>OMCS contract up Dec 2021</t>
  </si>
  <si>
    <t>Oracle EULA license agreement until December 2022</t>
  </si>
  <si>
    <t>Severity Selections</t>
  </si>
  <si>
    <t>Source Selections</t>
  </si>
  <si>
    <t>[Select]</t>
  </si>
  <si>
    <t>Oracle Estimate</t>
  </si>
  <si>
    <t>Combination</t>
  </si>
  <si>
    <t>6a</t>
  </si>
  <si>
    <t>There is demand for innovation in improved Analytics, Digital channels…etc.</t>
  </si>
  <si>
    <t>Overall, users like the user interface of Siebel (OpenUI?)</t>
  </si>
  <si>
    <t>Please specify which version of the Oracle Database is in use with Siebel.</t>
  </si>
  <si>
    <t>Initial High Level Discovery</t>
  </si>
  <si>
    <t>What is the prefered OCI region for the deployment</t>
  </si>
  <si>
    <t>ACE Name</t>
  </si>
  <si>
    <t>Siebel on OCI Discovery - Customer Information</t>
  </si>
  <si>
    <r>
      <t xml:space="preserve">Note:
</t>
    </r>
    <r>
      <rPr>
        <sz val="8"/>
        <rFont val="Calibri"/>
        <family val="2"/>
        <scheme val="minor"/>
      </rPr>
      <t>This Input Sheet will help us gather information to assess your Siebel system, the business context surrounding the system and provide you with a to-be Architecture and Roadmap.</t>
    </r>
  </si>
  <si>
    <t>Siebel to OCI Move &amp; Improve Discovery</t>
  </si>
  <si>
    <t>This Input Sheet will help us gather information to assess your Siebel system, the business context surrounding the system. This can be used for the following cases:
1. Lead generation.
2. Sales Stage 1 Opportunities 
3. Convince Siebel Lift to OCI
4. Business use case creation.
5. Siebel on OCI to-be architecture, sizing, best practices and recommendation</t>
  </si>
  <si>
    <t>There are no legislative or other reasons for hosting the organization's data in the public cloud.
If there are reasons please specify.</t>
  </si>
  <si>
    <t>Overall, CRM business processes in each of the business domains supported by Siebel are mature and best-in-class.</t>
  </si>
  <si>
    <t>What is approximately the number of concurrent users of the application?</t>
  </si>
  <si>
    <t>What’s the current storage architecture and what is the size of Siebel File System for each environment</t>
  </si>
  <si>
    <t>What is the growth rate for your Siebel Filesystem YoY  for each environment</t>
  </si>
  <si>
    <t xml:space="preserve">Are you aware of customer’s overall cloud strategy? If yes - Can you, please give details on the customer’s cloud strategy? </t>
  </si>
  <si>
    <t>What is the driving force/challenge for that project to move to OCI?</t>
  </si>
  <si>
    <t>Is there an exec sponsor (CIO-level or equal) from the customer who supports the project and who is already committed to do that OCI migration? What's their name?</t>
  </si>
  <si>
    <t>Is this customer already an OCI consuming account? If yes - When was the OCI consumption start date?</t>
  </si>
  <si>
    <t>What are the environments the customer wants to migrate to OCI (Dev/Test/QA/Prod)?</t>
  </si>
  <si>
    <t>Does the customer have funding/budget/resources made already available for OCI migration?</t>
  </si>
  <si>
    <t>Overall, users like Siebel as a CRM system or there are known issues on a specific area they're complaining about (e.g. Performance)</t>
  </si>
  <si>
    <t>Common Oracle Apps Discovery</t>
  </si>
  <si>
    <r>
      <t xml:space="preserve">Section 1 - Strategic Section
</t>
    </r>
    <r>
      <rPr>
        <b/>
        <sz val="10"/>
        <color theme="0"/>
        <rFont val="Calibri"/>
        <family val="2"/>
        <scheme val="minor"/>
      </rPr>
      <t>Please rate each statement on a scale of 1 to 5  
(1=Strongly agree; 2=Tend to agree, 3=Neither agree nor disagree; 4=Tend to disagree; 5=Strongly disagree; 0=Don't know)</t>
    </r>
  </si>
  <si>
    <r>
      <t xml:space="preserve">Section 2 - Operational Section
</t>
    </r>
    <r>
      <rPr>
        <b/>
        <sz val="10"/>
        <color theme="0"/>
        <rFont val="Calibri"/>
        <family val="2"/>
        <scheme val="minor"/>
      </rPr>
      <t>Please rate each statement on a scale of 1 to 5  
(1=Strongly agree; 2=Tend to agree, 3=Neither agree nor disagree; 4=Tend to disagree; 5=Strongly disagree; 0=Don't know)</t>
    </r>
  </si>
  <si>
    <r>
      <t xml:space="preserve">Section 3 - Cultural Section
</t>
    </r>
    <r>
      <rPr>
        <b/>
        <sz val="10"/>
        <color theme="0"/>
        <rFont val="Calibri"/>
        <family val="2"/>
        <scheme val="minor"/>
      </rPr>
      <t>Please rate each statement on a scale of 1 to 5  
(1=Strongly agree; 2=Tend to agree, 3=Neither agree nor disagree; 4=Tend to disagree; 5=Strongly disagree; 0=Don't know)</t>
    </r>
  </si>
  <si>
    <r>
      <t xml:space="preserve">Section 4 - Commercial Section
</t>
    </r>
    <r>
      <rPr>
        <b/>
        <sz val="10"/>
        <color theme="0"/>
        <rFont val="Calibri"/>
        <family val="2"/>
        <scheme val="minor"/>
      </rPr>
      <t>Please rate each statement on a scale of 1 to 5  
(1=Strongly agree; 2=Tend to agree, 3=Neither agree nor disagree; 4=Tend to disagree; 5=Strongly disagree; 0=Don't know)</t>
    </r>
  </si>
  <si>
    <r>
      <t xml:space="preserve">Section 5 - IT System Section
</t>
    </r>
    <r>
      <rPr>
        <b/>
        <sz val="10"/>
        <color theme="0"/>
        <rFont val="Calibri"/>
        <family val="2"/>
        <scheme val="minor"/>
      </rPr>
      <t>Please rate each statement on a scale of 1 to 5  
(1=Strongly agree; 2=Tend to agree, 3=Neither agree nor disagree; 4=Tend to disagree; 5=Strongly disagree; 0=Don't know)</t>
    </r>
  </si>
  <si>
    <r>
      <t xml:space="preserve">Section 6 - IT Infrastructure Section
</t>
    </r>
    <r>
      <rPr>
        <b/>
        <sz val="10"/>
        <color theme="0"/>
        <rFont val="Calibri"/>
        <family val="2"/>
        <scheme val="minor"/>
      </rPr>
      <t>Please rate each statement on a scale of 1 to 5  
(1=Strongly agree; 2=Tend to agree, 3=Neither agree nor disagree; 4=Tend to disagree; 5=Strongly disagree; 0=Don't know)</t>
    </r>
  </si>
  <si>
    <r>
      <t xml:space="preserve">Section 7 - Other Considerations Section
</t>
    </r>
    <r>
      <rPr>
        <b/>
        <sz val="10"/>
        <color theme="0"/>
        <rFont val="Calibri"/>
        <family val="2"/>
        <scheme val="minor"/>
      </rPr>
      <t>Please list any additional factors which should be considered when assessing the E-Business Suite.</t>
    </r>
  </si>
  <si>
    <r>
      <t xml:space="preserve">Siebel on OCI Discovery
</t>
    </r>
    <r>
      <rPr>
        <b/>
        <sz val="10"/>
        <color theme="0"/>
        <rFont val="Calibri"/>
        <family val="2"/>
        <scheme val="minor"/>
      </rPr>
      <t>Please rate each statement on a scale of 1 to 5  
(1=Strongly agree; 2=Tend to agree, 3=Neither agree nor disagree; 4=Tend to disagree; 5=Strongly disagree; 0=Don't know)</t>
    </r>
  </si>
  <si>
    <t>In case your Siebel Application is running on Windows OS, have you implemented any scrpit using Siebel VB Script?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</si>
</sst>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mmmm\ dd\,\ yyyy"/>
  </numFmts>
  <fonts count="32" x14ac:knownFonts="1">
    <font>
      <sz val="10"/>
      <name val="Arial"/>
      <family val="2"/>
    </font>
    <font>
      <sz val="11"/>
      <color theme="1"/>
      <name val="Calibri"/>
      <family val="2"/>
      <scheme val="minor"/>
    </font>
    <font>
      <sz val="11"/>
      <color theme="1"/>
      <name val="Calibri"/>
      <family val="2"/>
      <scheme val="minor"/>
    </font>
    <font>
      <sz val="8"/>
      <name val="Arial"/>
      <family val="2"/>
    </font>
    <font>
      <sz val="10"/>
      <name val="Arial"/>
      <family val="2"/>
    </font>
    <font>
      <u/>
      <sz val="10"/>
      <color indexed="36"/>
      <name val="Arial"/>
      <family val="2"/>
    </font>
    <font>
      <u/>
      <sz val="10"/>
      <color indexed="12"/>
      <name val="Arial"/>
      <family val="2"/>
    </font>
    <font>
      <b/>
      <sz val="9"/>
      <color indexed="8"/>
      <name val="Tahoma"/>
      <family val="2"/>
    </font>
    <font>
      <sz val="12"/>
      <color indexed="8"/>
      <name val="Oracle Sans Regular"/>
    </font>
    <font>
      <sz val="11"/>
      <color indexed="8"/>
      <name val="Calibri"/>
      <family val="2"/>
      <charset val="1"/>
    </font>
    <font>
      <sz val="14"/>
      <color indexed="8"/>
      <name val="Calibri"/>
      <family val="2"/>
    </font>
    <font>
      <b/>
      <sz val="14"/>
      <color indexed="8"/>
      <name val="Calibri"/>
      <family val="2"/>
    </font>
    <font>
      <sz val="11"/>
      <color theme="1"/>
      <name val="Calibri"/>
      <family val="2"/>
      <charset val="1"/>
      <scheme val="minor"/>
    </font>
    <font>
      <b/>
      <sz val="14"/>
      <color theme="1"/>
      <name val="Calibri"/>
      <family val="2"/>
      <scheme val="minor"/>
    </font>
    <font>
      <sz val="14"/>
      <color theme="1"/>
      <name val="Calibri"/>
      <family val="2"/>
      <scheme val="minor"/>
    </font>
    <font>
      <sz val="10"/>
      <color theme="1"/>
      <name val="Calibri"/>
      <family val="2"/>
      <scheme val="minor"/>
    </font>
    <font>
      <b/>
      <sz val="14"/>
      <color theme="1"/>
      <name val="Calibri"/>
      <family val="2"/>
      <scheme val="minor"/>
    </font>
    <font>
      <sz val="14"/>
      <color theme="1"/>
      <name val="Calibri"/>
      <family val="2"/>
      <scheme val="minor"/>
    </font>
    <font>
      <b/>
      <sz val="11"/>
      <color theme="0"/>
      <name val="Calibri"/>
      <family val="2"/>
      <scheme val="minor"/>
    </font>
    <font>
      <sz val="10"/>
      <name val="Calibri"/>
      <family val="2"/>
      <scheme val="minor"/>
    </font>
    <font>
      <b/>
      <sz val="11"/>
      <name val="Calibri"/>
      <family val="2"/>
      <scheme val="minor"/>
    </font>
    <font>
      <sz val="10"/>
      <name val="Arial"/>
      <family val="2"/>
    </font>
    <font>
      <b/>
      <sz val="10"/>
      <color theme="0"/>
      <name val="Calibri"/>
      <family val="2"/>
      <scheme val="minor"/>
    </font>
    <font>
      <sz val="12"/>
      <name val="Calibri"/>
      <family val="2"/>
      <scheme val="minor"/>
    </font>
    <font>
      <sz val="10"/>
      <color theme="0"/>
      <name val="Calibri"/>
      <family val="2"/>
      <scheme val="minor"/>
    </font>
    <font>
      <b/>
      <sz val="10"/>
      <name val="Calibri"/>
      <family val="2"/>
      <scheme val="minor"/>
    </font>
    <font>
      <b/>
      <sz val="8"/>
      <name val="Calibri"/>
      <family val="2"/>
      <scheme val="minor"/>
    </font>
    <font>
      <sz val="8"/>
      <name val="Calibri"/>
      <family val="2"/>
      <scheme val="minor"/>
    </font>
    <font>
      <sz val="11"/>
      <color theme="0"/>
      <name val="Calibri"/>
      <family val="2"/>
      <scheme val="minor"/>
    </font>
    <font>
      <b/>
      <sz val="22"/>
      <color theme="0"/>
      <name val="Calibri"/>
      <family val="2"/>
      <scheme val="minor"/>
    </font>
    <font>
      <b/>
      <sz val="14"/>
      <color theme="0"/>
      <name val="Calibri"/>
      <family val="2"/>
      <scheme val="minor"/>
    </font>
    <font>
      <b/>
      <sz val="12"/>
      <color theme="0"/>
      <name val="Calibri"/>
      <family val="2"/>
      <scheme val="minor"/>
    </font>
  </fonts>
  <fills count="7">
    <fill>
      <patternFill patternType="none"/>
    </fill>
    <fill>
      <patternFill patternType="gray125"/>
    </fill>
    <fill>
      <patternFill patternType="solid">
        <fgColor indexed="22"/>
        <bgColor indexed="64"/>
      </patternFill>
    </fill>
    <fill>
      <patternFill patternType="solid">
        <fgColor theme="0" tint="-4.9989318521683403E-2"/>
        <bgColor indexed="64"/>
      </patternFill>
    </fill>
    <fill>
      <patternFill patternType="solid">
        <fgColor theme="0"/>
        <bgColor indexed="64"/>
      </patternFill>
    </fill>
    <fill>
      <patternFill patternType="solid">
        <fgColor theme="1"/>
        <bgColor indexed="64"/>
      </patternFill>
    </fill>
    <fill>
      <patternFill patternType="solid">
        <fgColor theme="8" tint="-0.249977111117893"/>
        <bgColor indexed="64"/>
      </patternFill>
    </fill>
  </fills>
  <borders count="27">
    <border>
      <left/>
      <right/>
      <top/>
      <bottom/>
      <diagonal/>
    </border>
    <border>
      <left style="thin">
        <color indexed="22"/>
      </left>
      <right style="thin">
        <color indexed="22"/>
      </right>
      <top style="thin">
        <color indexed="22"/>
      </top>
      <bottom style="thin">
        <color indexed="22"/>
      </bottom>
      <diagonal/>
    </border>
    <border>
      <left/>
      <right style="medium">
        <color indexed="64"/>
      </right>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auto="1"/>
      </top>
      <bottom style="thin">
        <color auto="1"/>
      </bottom>
      <diagonal/>
    </border>
    <border>
      <left/>
      <right style="medium">
        <color indexed="64"/>
      </right>
      <top style="thin">
        <color indexed="64"/>
      </top>
      <bottom style="thin">
        <color indexed="64"/>
      </bottom>
      <diagonal/>
    </border>
    <border>
      <left style="medium">
        <color indexed="64"/>
      </left>
      <right/>
      <top/>
      <bottom/>
      <diagonal/>
    </border>
  </borders>
  <cellStyleXfs count="12">
    <xf numFmtId="0" fontId="0" fillId="0" borderId="0"/>
    <xf numFmtId="43" fontId="9" fillId="0" borderId="0" applyFont="0" applyFill="0" applyBorder="0" applyAlignment="0" applyProtection="0"/>
    <xf numFmtId="0" fontId="5"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2" fontId="4" fillId="0" borderId="0" applyFill="0" applyBorder="0" applyAlignment="0"/>
    <xf numFmtId="0" fontId="4" fillId="0" borderId="0"/>
    <xf numFmtId="0" fontId="12" fillId="0" borderId="0"/>
    <xf numFmtId="0" fontId="7" fillId="2" borderId="1">
      <alignment vertical="center"/>
    </xf>
    <xf numFmtId="9" fontId="4" fillId="0" borderId="0" applyFont="0" applyFill="0" applyBorder="0" applyAlignment="0" applyProtection="0"/>
    <xf numFmtId="9" fontId="9" fillId="0" borderId="0" applyFont="0" applyFill="0" applyBorder="0" applyAlignment="0" applyProtection="0"/>
    <xf numFmtId="0" fontId="2" fillId="0" borderId="0"/>
    <xf numFmtId="0" fontId="21" fillId="0" borderId="0"/>
  </cellStyleXfs>
  <cellXfs count="125">
    <xf numFmtId="0" fontId="0" fillId="0" borderId="0" xfId="0"/>
    <xf numFmtId="4" fontId="0" fillId="0" borderId="0" xfId="0" applyNumberFormat="1"/>
    <xf numFmtId="0" fontId="8" fillId="0" borderId="0" xfId="0" applyFont="1"/>
    <xf numFmtId="0" fontId="11" fillId="0" borderId="0" xfId="0" applyFont="1" applyAlignment="1">
      <alignment horizontal="center"/>
    </xf>
    <xf numFmtId="9" fontId="11" fillId="0" borderId="0" xfId="8" applyFont="1" applyAlignment="1">
      <alignment horizontal="center"/>
    </xf>
    <xf numFmtId="0" fontId="11" fillId="0" borderId="7" xfId="0" applyFont="1" applyBorder="1" applyAlignment="1">
      <alignment horizontal="center" vertical="center"/>
    </xf>
    <xf numFmtId="0" fontId="10" fillId="0" borderId="3" xfId="0" applyFont="1" applyBorder="1" applyAlignment="1">
      <alignment horizontal="center"/>
    </xf>
    <xf numFmtId="9" fontId="10" fillId="0" borderId="3" xfId="8" applyFont="1" applyBorder="1" applyAlignment="1">
      <alignment horizontal="center"/>
    </xf>
    <xf numFmtId="0" fontId="10" fillId="0" borderId="14" xfId="0" applyFont="1" applyBorder="1" applyAlignment="1">
      <alignment horizontal="center"/>
    </xf>
    <xf numFmtId="0" fontId="11" fillId="0" borderId="8" xfId="0" applyFont="1" applyBorder="1" applyAlignment="1">
      <alignment horizontal="center" vertical="center"/>
    </xf>
    <xf numFmtId="0" fontId="10" fillId="0" borderId="0" xfId="0" applyFont="1" applyAlignment="1">
      <alignment horizontal="center"/>
    </xf>
    <xf numFmtId="9" fontId="10" fillId="0" borderId="0" xfId="8" applyFont="1" applyBorder="1" applyAlignment="1">
      <alignment horizontal="center"/>
    </xf>
    <xf numFmtId="0" fontId="10" fillId="0" borderId="2" xfId="0" applyFont="1" applyBorder="1" applyAlignment="1">
      <alignment horizontal="center"/>
    </xf>
    <xf numFmtId="0" fontId="11" fillId="0" borderId="9" xfId="0" applyFont="1" applyBorder="1" applyAlignment="1">
      <alignment horizontal="center" vertical="center"/>
    </xf>
    <xf numFmtId="0" fontId="10" fillId="0" borderId="15" xfId="0" applyFont="1" applyBorder="1" applyAlignment="1">
      <alignment horizontal="center"/>
    </xf>
    <xf numFmtId="9" fontId="10" fillId="0" borderId="15" xfId="8" applyFont="1" applyBorder="1" applyAlignment="1">
      <alignment horizontal="center"/>
    </xf>
    <xf numFmtId="0" fontId="10" fillId="0" borderId="11" xfId="0" applyFont="1" applyBorder="1" applyAlignment="1">
      <alignment horizontal="center"/>
    </xf>
    <xf numFmtId="4" fontId="11" fillId="0" borderId="0" xfId="0" applyNumberFormat="1" applyFont="1" applyAlignment="1">
      <alignment horizontal="center"/>
    </xf>
    <xf numFmtId="4" fontId="10" fillId="0" borderId="3" xfId="0" applyNumberFormat="1" applyFont="1" applyBorder="1" applyAlignment="1">
      <alignment horizontal="center"/>
    </xf>
    <xf numFmtId="4" fontId="10" fillId="0" borderId="0" xfId="0" applyNumberFormat="1" applyFont="1" applyAlignment="1">
      <alignment horizontal="center"/>
    </xf>
    <xf numFmtId="4" fontId="10" fillId="0" borderId="15" xfId="0" applyNumberFormat="1" applyFont="1" applyBorder="1" applyAlignment="1">
      <alignment horizontal="center"/>
    </xf>
    <xf numFmtId="0" fontId="0" fillId="0" borderId="0" xfId="0"/>
    <xf numFmtId="0" fontId="13" fillId="0" borderId="8" xfId="0" applyFont="1" applyBorder="1" applyAlignment="1">
      <alignment horizontal="center" vertical="center"/>
    </xf>
    <xf numFmtId="0" fontId="14" fillId="0" borderId="0" xfId="0" applyFont="1" applyBorder="1" applyAlignment="1">
      <alignment horizontal="center"/>
    </xf>
    <xf numFmtId="9" fontId="14" fillId="0" borderId="0" xfId="8" applyFont="1" applyBorder="1" applyAlignment="1">
      <alignment horizontal="center"/>
    </xf>
    <xf numFmtId="4" fontId="14" fillId="0" borderId="0" xfId="0" applyNumberFormat="1" applyFont="1" applyBorder="1" applyAlignment="1">
      <alignment horizontal="center"/>
    </xf>
    <xf numFmtId="0" fontId="14" fillId="0" borderId="2" xfId="0" applyFont="1" applyBorder="1" applyAlignment="1">
      <alignment horizontal="center"/>
    </xf>
    <xf numFmtId="0" fontId="0" fillId="0" borderId="0" xfId="0"/>
    <xf numFmtId="0" fontId="0" fillId="0" borderId="0" xfId="0"/>
    <xf numFmtId="0" fontId="2" fillId="0" borderId="0" xfId="10"/>
    <xf numFmtId="0" fontId="10" fillId="0" borderId="3" xfId="0" applyFont="1" applyBorder="1" applyAlignment="1">
      <alignment horizontal="center" wrapText="1"/>
    </xf>
    <xf numFmtId="0" fontId="0" fillId="0" borderId="0" xfId="0"/>
    <xf numFmtId="0" fontId="10" fillId="0" borderId="3" xfId="0" applyFont="1" applyFill="1" applyBorder="1" applyAlignment="1">
      <alignment horizontal="center"/>
    </xf>
    <xf numFmtId="0" fontId="10" fillId="0" borderId="14" xfId="0" applyFont="1" applyFill="1" applyBorder="1" applyAlignment="1">
      <alignment horizontal="center"/>
    </xf>
    <xf numFmtId="0" fontId="16" fillId="0" borderId="8" xfId="0" applyFont="1" applyBorder="1" applyAlignment="1">
      <alignment horizontal="center" vertical="center"/>
    </xf>
    <xf numFmtId="0" fontId="17" fillId="0" borderId="0" xfId="0" applyFont="1" applyAlignment="1">
      <alignment horizontal="center"/>
    </xf>
    <xf numFmtId="4" fontId="17" fillId="0" borderId="0" xfId="0" applyNumberFormat="1" applyFont="1" applyAlignment="1">
      <alignment horizontal="center"/>
    </xf>
    <xf numFmtId="0" fontId="17" fillId="0" borderId="2" xfId="0" applyFont="1" applyBorder="1" applyAlignment="1">
      <alignment horizontal="center"/>
    </xf>
    <xf numFmtId="0" fontId="10" fillId="0" borderId="3" xfId="0" applyFont="1" applyBorder="1" applyAlignment="1">
      <alignment horizontal="left" wrapText="1"/>
    </xf>
    <xf numFmtId="0" fontId="19" fillId="0" borderId="0" xfId="0" applyFont="1"/>
    <xf numFmtId="0" fontId="19" fillId="0" borderId="0" xfId="0" applyFont="1" applyAlignment="1">
      <alignment vertical="top"/>
    </xf>
    <xf numFmtId="0" fontId="19" fillId="0" borderId="0" xfId="0" applyFont="1" applyAlignment="1">
      <alignment vertical="center"/>
    </xf>
    <xf numFmtId="0" fontId="20" fillId="0" borderId="19" xfId="0" applyFont="1" applyBorder="1" applyAlignment="1">
      <alignment horizontal="right" vertical="top"/>
    </xf>
    <xf numFmtId="0" fontId="20" fillId="0" borderId="16" xfId="0" applyFont="1" applyBorder="1" applyAlignment="1">
      <alignment horizontal="right" vertical="top"/>
    </xf>
    <xf numFmtId="0" fontId="20" fillId="0" borderId="18" xfId="0" applyFont="1" applyBorder="1" applyAlignment="1">
      <alignment horizontal="right" vertical="top"/>
    </xf>
    <xf numFmtId="0" fontId="19" fillId="0" borderId="0" xfId="11" applyFont="1"/>
    <xf numFmtId="0" fontId="19" fillId="0" borderId="0" xfId="11" applyFont="1" applyAlignment="1">
      <alignment vertical="top"/>
    </xf>
    <xf numFmtId="0" fontId="19" fillId="3" borderId="0" xfId="11" applyFont="1" applyFill="1" applyAlignment="1">
      <alignment horizontal="right"/>
    </xf>
    <xf numFmtId="0" fontId="23" fillId="0" borderId="0" xfId="11" applyFont="1"/>
    <xf numFmtId="0" fontId="19" fillId="0" borderId="4" xfId="11" applyFont="1" applyBorder="1" applyAlignment="1">
      <alignment horizontal="center" vertical="center"/>
    </xf>
    <xf numFmtId="0" fontId="15" fillId="0" borderId="4" xfId="11" applyFont="1" applyBorder="1" applyAlignment="1">
      <alignment vertical="top" wrapText="1"/>
    </xf>
    <xf numFmtId="0" fontId="19" fillId="3" borderId="4" xfId="11" applyFont="1" applyFill="1" applyBorder="1" applyAlignment="1">
      <alignment wrapText="1"/>
    </xf>
    <xf numFmtId="0" fontId="19" fillId="3" borderId="4" xfId="11" applyFont="1" applyFill="1" applyBorder="1" applyAlignment="1">
      <alignment horizontal="left" vertical="center"/>
    </xf>
    <xf numFmtId="0" fontId="19" fillId="0" borderId="4" xfId="11" applyFont="1" applyBorder="1" applyAlignment="1">
      <alignment horizontal="left" vertical="top" wrapText="1"/>
    </xf>
    <xf numFmtId="0" fontId="19" fillId="5" borderId="0" xfId="11" applyFont="1" applyFill="1"/>
    <xf numFmtId="0" fontId="19" fillId="5" borderId="0" xfId="11" applyFont="1" applyFill="1" applyAlignment="1">
      <alignment vertical="top"/>
    </xf>
    <xf numFmtId="0" fontId="24" fillId="0" borderId="0" xfId="11" applyFont="1"/>
    <xf numFmtId="0" fontId="22" fillId="0" borderId="0" xfId="11" applyFont="1" applyAlignment="1">
      <alignment horizontal="right"/>
    </xf>
    <xf numFmtId="0" fontId="22" fillId="0" borderId="0" xfId="11" applyFont="1" applyAlignment="1">
      <alignment horizontal="left"/>
    </xf>
    <xf numFmtId="0" fontId="24" fillId="0" borderId="0" xfId="11" applyFont="1" applyAlignment="1">
      <alignment horizontal="right"/>
    </xf>
    <xf numFmtId="0" fontId="19" fillId="3" borderId="4" xfId="10" applyFont="1" applyFill="1" applyBorder="1" applyAlignment="1">
      <alignment vertical="top" wrapText="1"/>
    </xf>
    <xf numFmtId="0" fontId="25" fillId="0" borderId="0" xfId="10" applyFont="1" applyAlignment="1">
      <alignment vertical="top" wrapText="1"/>
    </xf>
    <xf numFmtId="0" fontId="19" fillId="4" borderId="0" xfId="11" applyFont="1" applyFill="1"/>
    <xf numFmtId="0" fontId="19" fillId="4" borderId="0" xfId="11" applyFont="1" applyFill="1" applyAlignment="1">
      <alignment vertical="top"/>
    </xf>
    <xf numFmtId="0" fontId="19" fillId="4" borderId="0" xfId="11" applyFont="1" applyFill="1" applyBorder="1" applyAlignment="1">
      <alignment horizontal="center" vertical="center"/>
    </xf>
    <xf numFmtId="0" fontId="15" fillId="4" borderId="0" xfId="11" applyFont="1" applyFill="1" applyBorder="1" applyAlignment="1">
      <alignment vertical="top" wrapText="1"/>
    </xf>
    <xf numFmtId="0" fontId="24" fillId="4" borderId="0" xfId="11" applyFont="1" applyFill="1" applyBorder="1" applyAlignment="1">
      <alignment horizontal="center" vertical="center"/>
    </xf>
    <xf numFmtId="0" fontId="19" fillId="4" borderId="0" xfId="11" applyFont="1" applyFill="1" applyBorder="1" applyAlignment="1">
      <alignment wrapText="1"/>
    </xf>
    <xf numFmtId="0" fontId="19" fillId="4" borderId="0" xfId="11" applyFont="1" applyFill="1" applyBorder="1" applyAlignment="1">
      <alignment horizontal="left" vertical="center"/>
    </xf>
    <xf numFmtId="0" fontId="19" fillId="5" borderId="0" xfId="11" applyFont="1" applyFill="1" applyBorder="1" applyAlignment="1">
      <alignment horizontal="center" vertical="center"/>
    </xf>
    <xf numFmtId="0" fontId="15" fillId="5" borderId="0" xfId="11" applyFont="1" applyFill="1" applyBorder="1" applyAlignment="1">
      <alignment vertical="top" wrapText="1"/>
    </xf>
    <xf numFmtId="0" fontId="24" fillId="5" borderId="0" xfId="11" applyFont="1" applyFill="1" applyBorder="1" applyAlignment="1">
      <alignment horizontal="center" vertical="center"/>
    </xf>
    <xf numFmtId="0" fontId="19" fillId="5" borderId="0" xfId="11" applyFont="1" applyFill="1" applyBorder="1" applyAlignment="1">
      <alignment wrapText="1"/>
    </xf>
    <xf numFmtId="0" fontId="19" fillId="5" borderId="0" xfId="11" applyFont="1" applyFill="1" applyBorder="1" applyAlignment="1">
      <alignment horizontal="left" vertical="center"/>
    </xf>
    <xf numFmtId="0" fontId="19" fillId="0" borderId="4" xfId="11" applyFont="1" applyBorder="1"/>
    <xf numFmtId="0" fontId="24" fillId="3" borderId="4" xfId="11" applyFont="1" applyFill="1" applyBorder="1" applyAlignment="1">
      <alignment horizontal="center" vertical="center"/>
    </xf>
    <xf numFmtId="0" fontId="19" fillId="0" borderId="4" xfId="11" applyFont="1" applyBorder="1" applyAlignment="1">
      <alignment vertical="top"/>
    </xf>
    <xf numFmtId="0" fontId="22" fillId="0" borderId="0" xfId="10" applyFont="1" applyAlignment="1">
      <alignment vertical="top" wrapText="1"/>
    </xf>
    <xf numFmtId="0" fontId="1" fillId="0" borderId="0" xfId="10" applyFont="1" applyAlignment="1">
      <alignment wrapText="1"/>
    </xf>
    <xf numFmtId="0" fontId="1" fillId="0" borderId="0" xfId="10" applyFont="1"/>
    <xf numFmtId="0" fontId="1" fillId="0" borderId="0" xfId="10" applyFont="1" applyFill="1"/>
    <xf numFmtId="0" fontId="1" fillId="0" borderId="0" xfId="10" applyFont="1" applyAlignment="1">
      <alignment horizontal="left" vertical="top" wrapText="1"/>
    </xf>
    <xf numFmtId="0" fontId="1" fillId="0" borderId="4" xfId="10" applyFont="1" applyBorder="1" applyAlignment="1">
      <alignment horizontal="left" vertical="top" wrapText="1"/>
    </xf>
    <xf numFmtId="0" fontId="1" fillId="0" borderId="4" xfId="10" applyFont="1" applyFill="1" applyBorder="1" applyAlignment="1">
      <alignment horizontal="left" vertical="top" wrapText="1"/>
    </xf>
    <xf numFmtId="0" fontId="19" fillId="4" borderId="4" xfId="10" applyFont="1" applyFill="1" applyBorder="1" applyAlignment="1">
      <alignment vertical="center" wrapText="1"/>
    </xf>
    <xf numFmtId="0" fontId="23" fillId="4" borderId="0" xfId="11" applyFont="1" applyFill="1"/>
    <xf numFmtId="0" fontId="22" fillId="6" borderId="17" xfId="0" applyFont="1" applyFill="1" applyBorder="1" applyAlignment="1">
      <alignment horizontal="right"/>
    </xf>
    <xf numFmtId="0" fontId="24" fillId="6" borderId="0" xfId="11" applyFont="1" applyFill="1" applyAlignment="1">
      <alignment horizontal="right"/>
    </xf>
    <xf numFmtId="0" fontId="18" fillId="6" borderId="5" xfId="0" applyFont="1" applyFill="1" applyBorder="1" applyAlignment="1">
      <alignment horizontal="left" vertical="center"/>
    </xf>
    <xf numFmtId="0" fontId="18" fillId="6" borderId="25" xfId="0" applyFont="1" applyFill="1" applyBorder="1" applyAlignment="1">
      <alignment horizontal="left" vertical="center"/>
    </xf>
    <xf numFmtId="0" fontId="22" fillId="6" borderId="4" xfId="11" applyFont="1" applyFill="1" applyBorder="1" applyAlignment="1">
      <alignment horizontal="center" vertical="center"/>
    </xf>
    <xf numFmtId="0" fontId="22" fillId="6" borderId="4" xfId="11" applyFont="1" applyFill="1" applyBorder="1" applyAlignment="1">
      <alignment horizontal="left" vertical="top" wrapText="1"/>
    </xf>
    <xf numFmtId="0" fontId="22" fillId="6" borderId="4" xfId="11" applyFont="1" applyFill="1" applyBorder="1" applyAlignment="1">
      <alignment horizontal="center" vertical="center" wrapText="1"/>
    </xf>
    <xf numFmtId="0" fontId="22" fillId="6" borderId="17" xfId="11" applyFont="1" applyFill="1" applyBorder="1" applyAlignment="1">
      <alignment horizontal="right"/>
    </xf>
    <xf numFmtId="0" fontId="24" fillId="6" borderId="4" xfId="11" applyFont="1" applyFill="1" applyBorder="1" applyAlignment="1">
      <alignment horizontal="center" vertical="center"/>
    </xf>
    <xf numFmtId="0" fontId="24" fillId="6" borderId="4" xfId="11" applyFont="1" applyFill="1" applyBorder="1" applyAlignment="1">
      <alignment wrapText="1"/>
    </xf>
    <xf numFmtId="0" fontId="24" fillId="6" borderId="4" xfId="11" applyFont="1" applyFill="1" applyBorder="1" applyAlignment="1">
      <alignment horizontal="left" vertical="center"/>
    </xf>
    <xf numFmtId="0" fontId="22" fillId="6" borderId="7" xfId="11" applyFont="1" applyFill="1" applyBorder="1" applyAlignment="1">
      <alignment horizontal="right"/>
    </xf>
    <xf numFmtId="0" fontId="24" fillId="6" borderId="4" xfId="10" applyFont="1" applyFill="1" applyBorder="1" applyAlignment="1">
      <alignment vertical="top" wrapText="1"/>
    </xf>
    <xf numFmtId="0" fontId="24" fillId="6" borderId="4" xfId="10" applyFont="1" applyFill="1" applyBorder="1" applyAlignment="1">
      <alignment wrapText="1"/>
    </xf>
    <xf numFmtId="0" fontId="28" fillId="6" borderId="4" xfId="10" applyFont="1" applyFill="1" applyBorder="1" applyAlignment="1">
      <alignment wrapText="1"/>
    </xf>
    <xf numFmtId="0" fontId="26" fillId="4" borderId="0" xfId="0" applyFont="1" applyFill="1" applyBorder="1" applyAlignment="1">
      <alignment horizontal="left" vertical="center" wrapText="1"/>
    </xf>
    <xf numFmtId="0" fontId="29" fillId="6" borderId="12" xfId="11" applyFont="1" applyFill="1" applyBorder="1" applyAlignment="1">
      <alignment horizontal="center"/>
    </xf>
    <xf numFmtId="0" fontId="29" fillId="6" borderId="13" xfId="11" applyFont="1" applyFill="1" applyBorder="1" applyAlignment="1">
      <alignment horizontal="center"/>
    </xf>
    <xf numFmtId="0" fontId="29" fillId="6" borderId="10" xfId="11" applyFont="1" applyFill="1" applyBorder="1" applyAlignment="1">
      <alignment horizontal="center"/>
    </xf>
    <xf numFmtId="0" fontId="18" fillId="6" borderId="5" xfId="0" applyFont="1" applyFill="1" applyBorder="1" applyAlignment="1">
      <alignment horizontal="center" vertical="center"/>
    </xf>
    <xf numFmtId="0" fontId="18" fillId="6" borderId="25" xfId="0" applyFont="1" applyFill="1" applyBorder="1" applyAlignment="1">
      <alignment horizontal="center" vertical="center"/>
    </xf>
    <xf numFmtId="0" fontId="18" fillId="6" borderId="22" xfId="0" applyFont="1" applyFill="1" applyBorder="1" applyAlignment="1">
      <alignment horizontal="left" vertical="center"/>
    </xf>
    <xf numFmtId="0" fontId="18" fillId="6" borderId="23" xfId="0" applyFont="1" applyFill="1" applyBorder="1" applyAlignment="1">
      <alignment horizontal="left" vertical="center"/>
    </xf>
    <xf numFmtId="164" fontId="18" fillId="6" borderId="20" xfId="0" applyNumberFormat="1" applyFont="1" applyFill="1" applyBorder="1" applyAlignment="1">
      <alignment horizontal="center" vertical="center"/>
    </xf>
    <xf numFmtId="164" fontId="18" fillId="6" borderId="21" xfId="0" applyNumberFormat="1" applyFont="1" applyFill="1" applyBorder="1" applyAlignment="1">
      <alignment horizontal="center" vertical="center"/>
    </xf>
    <xf numFmtId="0" fontId="30" fillId="6" borderId="12" xfId="0" applyFont="1" applyFill="1" applyBorder="1" applyAlignment="1">
      <alignment horizontal="center" vertical="center"/>
    </xf>
    <xf numFmtId="0" fontId="30" fillId="6" borderId="13" xfId="0" applyFont="1" applyFill="1" applyBorder="1" applyAlignment="1">
      <alignment horizontal="center" vertical="center"/>
    </xf>
    <xf numFmtId="0" fontId="19" fillId="5" borderId="0" xfId="11" applyFont="1" applyFill="1" applyAlignment="1">
      <alignment horizontal="center"/>
    </xf>
    <xf numFmtId="0" fontId="30" fillId="6" borderId="26" xfId="11" applyFont="1" applyFill="1" applyBorder="1" applyAlignment="1">
      <alignment horizontal="center" vertical="center"/>
    </xf>
    <xf numFmtId="0" fontId="30" fillId="6" borderId="0" xfId="11" applyFont="1" applyFill="1" applyBorder="1" applyAlignment="1">
      <alignment horizontal="center" vertical="center"/>
    </xf>
    <xf numFmtId="0" fontId="24" fillId="6" borderId="26" xfId="11" applyFont="1" applyFill="1" applyBorder="1" applyAlignment="1">
      <alignment horizontal="left" vertical="top" wrapText="1"/>
    </xf>
    <xf numFmtId="0" fontId="24" fillId="6" borderId="0" xfId="11" applyFont="1" applyFill="1" applyBorder="1" applyAlignment="1">
      <alignment horizontal="left" vertical="top" wrapText="1"/>
    </xf>
    <xf numFmtId="0" fontId="31" fillId="6" borderId="5" xfId="11" applyFont="1" applyFill="1" applyBorder="1" applyAlignment="1">
      <alignment horizontal="left" vertical="top" wrapText="1"/>
    </xf>
    <xf numFmtId="0" fontId="31" fillId="6" borderId="24" xfId="11" applyFont="1" applyFill="1" applyBorder="1" applyAlignment="1">
      <alignment horizontal="left" vertical="top" wrapText="1"/>
    </xf>
    <xf numFmtId="0" fontId="31" fillId="6" borderId="6" xfId="11" applyFont="1" applyFill="1" applyBorder="1" applyAlignment="1">
      <alignment horizontal="left" vertical="top" wrapText="1"/>
    </xf>
    <xf numFmtId="0" fontId="31" fillId="6" borderId="4" xfId="11" applyFont="1" applyFill="1" applyBorder="1" applyAlignment="1">
      <alignment horizontal="left" vertical="top" wrapText="1"/>
    </xf>
    <xf numFmtId="0" fontId="30" fillId="6" borderId="5" xfId="11" applyFont="1" applyFill="1" applyBorder="1" applyAlignment="1">
      <alignment horizontal="left" vertical="top" wrapText="1"/>
    </xf>
    <xf numFmtId="0" fontId="30" fillId="6" borderId="24" xfId="11" applyFont="1" applyFill="1" applyBorder="1" applyAlignment="1">
      <alignment horizontal="left" vertical="top" wrapText="1"/>
    </xf>
    <xf numFmtId="0" fontId="30" fillId="6" borderId="6" xfId="11" applyFont="1" applyFill="1" applyBorder="1" applyAlignment="1">
      <alignment horizontal="left" vertical="top" wrapText="1"/>
    </xf>
  </cellXfs>
  <cellStyles count="12">
    <cellStyle name="Comma 3" xfId="1"/>
    <cellStyle name="Followed Hyperlink" xfId="2" builtinId="9" customBuiltin="1"/>
    <cellStyle name="Hyperlink" xfId="3" builtinId="8" customBuiltin="1"/>
    <cellStyle name="Less than 5" xfId="4"/>
    <cellStyle name="Normal" xfId="0" builtinId="0"/>
    <cellStyle name="Normal 2" xfId="5"/>
    <cellStyle name="Normal 3" xfId="6"/>
    <cellStyle name="Normal 4" xfId="10"/>
    <cellStyle name="Normal 5" xfId="11"/>
    <cellStyle name="OBI_ColHeader" xfId="7"/>
    <cellStyle name="Percent" xfId="8" builtinId="5"/>
    <cellStyle name="Percent 3" xfId="9"/>
  </cellStyles>
  <dxfs count="32">
    <dxf>
      <font>
        <strike val="0"/>
        <outline val="0"/>
        <shadow val="0"/>
        <u val="none"/>
        <vertAlign val="baseline"/>
        <sz val="14"/>
        <color theme="1"/>
        <name val="Calibri"/>
        <scheme val="minor"/>
      </font>
      <alignment horizontal="center" textRotation="0" wrapText="0" indent="0" justifyLastLine="0" shrinkToFit="0" readingOrder="0"/>
      <border diagonalUp="0" diagonalDown="0" outline="0">
        <left/>
        <right style="medium">
          <color indexed="64"/>
        </right>
        <top/>
        <bottom/>
      </border>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numFmt numFmtId="4" formatCode="#,##0.00"/>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vertical="bottom"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strike val="0"/>
        <outline val="0"/>
        <shadow val="0"/>
        <u val="none"/>
        <vertAlign val="baseline"/>
        <sz val="14"/>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scheme val="minor"/>
      </font>
      <alignment horizontal="center" vertical="bottom" textRotation="0" wrapText="0" indent="0" justifyLastLine="0" shrinkToFit="0" readingOrder="0"/>
    </dxf>
    <dxf>
      <font>
        <strike val="0"/>
        <outline val="0"/>
        <shadow val="0"/>
        <u val="none"/>
        <vertAlign val="baseline"/>
        <sz val="14"/>
        <color theme="1"/>
        <name val="Calibri"/>
        <scheme val="minor"/>
      </font>
      <alignment horizont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outline="0">
        <left style="medium">
          <color indexed="64"/>
        </left>
        <right style="medium">
          <color indexed="64"/>
        </right>
        <top/>
        <bottom/>
      </border>
    </dxf>
    <dxf>
      <border outline="0">
        <bottom style="medium">
          <color indexed="64"/>
        </bottom>
      </border>
    </dxf>
    <dxf>
      <font>
        <strike val="0"/>
        <outline val="0"/>
        <shadow val="0"/>
        <u val="none"/>
        <vertAlign val="baseline"/>
        <sz val="14"/>
        <color theme="1"/>
        <name val="Calibri"/>
        <scheme val="minor"/>
      </font>
      <alignment horizont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textRotation="0" wrapText="0" indent="0" justifyLastLine="0" shrinkToFit="0" readingOrder="0"/>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externalLink" Target="externalLinks/externalLink7.xml"/><Relationship Id="rId18" Type="http://schemas.openxmlformats.org/officeDocument/2006/relationships/externalLink" Target="externalLinks/externalLink12.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15.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openxmlformats.org/officeDocument/2006/relationships/externalLink" Target="externalLinks/externalLink11.xml"/><Relationship Id="rId25" Type="http://schemas.openxmlformats.org/officeDocument/2006/relationships/externalLink" Target="externalLinks/externalLink19.xml"/><Relationship Id="rId2" Type="http://schemas.openxmlformats.org/officeDocument/2006/relationships/worksheet" Target="worksheets/sheet2.xml"/><Relationship Id="rId16" Type="http://schemas.openxmlformats.org/officeDocument/2006/relationships/externalLink" Target="externalLinks/externalLink10.xml"/><Relationship Id="rId20" Type="http://schemas.openxmlformats.org/officeDocument/2006/relationships/externalLink" Target="externalLinks/externalLink14.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24" Type="http://schemas.openxmlformats.org/officeDocument/2006/relationships/externalLink" Target="externalLinks/externalLink18.xml"/><Relationship Id="rId5" Type="http://schemas.openxmlformats.org/officeDocument/2006/relationships/worksheet" Target="worksheets/sheet5.xml"/><Relationship Id="rId15" Type="http://schemas.openxmlformats.org/officeDocument/2006/relationships/externalLink" Target="externalLinks/externalLink9.xml"/><Relationship Id="rId23" Type="http://schemas.openxmlformats.org/officeDocument/2006/relationships/externalLink" Target="externalLinks/externalLink17.xml"/><Relationship Id="rId28" Type="http://schemas.openxmlformats.org/officeDocument/2006/relationships/sharedStrings" Target="sharedStrings.xml"/><Relationship Id="rId10" Type="http://schemas.openxmlformats.org/officeDocument/2006/relationships/externalLink" Target="externalLinks/externalLink4.xml"/><Relationship Id="rId19" Type="http://schemas.openxmlformats.org/officeDocument/2006/relationships/externalLink" Target="externalLinks/externalLink13.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externalLink" Target="externalLinks/externalLink8.xml"/><Relationship Id="rId22" Type="http://schemas.openxmlformats.org/officeDocument/2006/relationships/externalLink" Target="externalLinks/externalLink16.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295275</xdr:colOff>
      <xdr:row>14</xdr:row>
      <xdr:rowOff>107457</xdr:rowOff>
    </xdr:from>
    <xdr:to>
      <xdr:col>3</xdr:col>
      <xdr:colOff>2295525</xdr:colOff>
      <xdr:row>14</xdr:row>
      <xdr:rowOff>1154386</xdr:rowOff>
    </xdr:to>
    <xdr:pic>
      <xdr:nvPicPr>
        <xdr:cNvPr id="2" name="Picture 1">
          <a:extLst>
            <a:ext uri="{FF2B5EF4-FFF2-40B4-BE49-F238E27FC236}">
              <a16:creationId xmlns:a16="http://schemas.microsoft.com/office/drawing/2014/main" id="{1D5B149D-FEAE-4B48-AED6-DA0F9DDBBA44}"/>
            </a:ext>
          </a:extLst>
        </xdr:cNvPr>
        <xdr:cNvPicPr>
          <a:picLocks noChangeAspect="1"/>
        </xdr:cNvPicPr>
      </xdr:nvPicPr>
      <xdr:blipFill>
        <a:blip xmlns:r="http://schemas.openxmlformats.org/officeDocument/2006/relationships" r:embed="rId1"/>
        <a:stretch>
          <a:fillRect/>
        </a:stretch>
      </xdr:blipFill>
      <xdr:spPr>
        <a:xfrm>
          <a:off x="10153650" y="6117732"/>
          <a:ext cx="2000250" cy="1046929"/>
        </a:xfrm>
        <a:prstGeom prst="rect">
          <a:avLst/>
        </a:prstGeom>
      </xdr:spPr>
    </xdr:pic>
    <xdr:clientData/>
  </xdr:twoCellAnchor>
  <xdr:twoCellAnchor editAs="oneCell">
    <xdr:from>
      <xdr:col>3</xdr:col>
      <xdr:colOff>2905125</xdr:colOff>
      <xdr:row>14</xdr:row>
      <xdr:rowOff>67732</xdr:rowOff>
    </xdr:from>
    <xdr:to>
      <xdr:col>3</xdr:col>
      <xdr:colOff>4714875</xdr:colOff>
      <xdr:row>14</xdr:row>
      <xdr:rowOff>1201900</xdr:rowOff>
    </xdr:to>
    <xdr:pic>
      <xdr:nvPicPr>
        <xdr:cNvPr id="3" name="Picture 2">
          <a:extLst>
            <a:ext uri="{FF2B5EF4-FFF2-40B4-BE49-F238E27FC236}">
              <a16:creationId xmlns:a16="http://schemas.microsoft.com/office/drawing/2014/main" id="{D28206CB-D057-4CEA-B859-AE094327B706}"/>
            </a:ext>
          </a:extLst>
        </xdr:cNvPr>
        <xdr:cNvPicPr>
          <a:picLocks noChangeAspect="1"/>
        </xdr:cNvPicPr>
      </xdr:nvPicPr>
      <xdr:blipFill>
        <a:blip xmlns:r="http://schemas.openxmlformats.org/officeDocument/2006/relationships" r:embed="rId2"/>
        <a:stretch>
          <a:fillRect/>
        </a:stretch>
      </xdr:blipFill>
      <xdr:spPr>
        <a:xfrm>
          <a:off x="12763500" y="6078007"/>
          <a:ext cx="1809750" cy="11341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cts/Shell_Migration_Factory/Douments/Migration_project/omf_phase_docs_scripts/analyze/SID_Report_Card_Ver2b.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kalra/AppData/Local/Microsoft/Windows/Temporary%20Internet%20Files/Content.Outlook/66K9Q7LS/MDM%20Benefit%20model%20v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Users\etisalat\AppData\Local\Microsoft\Windows\Temporary%20Internet%20Files\Content.Outlook\YDGKY0KW\2621%20%20%20160327_BC_CCTV%20for%20Cloud%20Survaillance%20V4_BASE%20CASE.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E:\Browser_Cache\Ie\Temporary%20Internet%20Files\OLK8\Cisco%20Price%20List%20Oct-23-200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DIBLAS/Downloads/SBL%20Sizing%20-%20v3.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asingh/Desktop/Comprehensive%20HC%20Provider%20benefit%20model_Jan09(1).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E:\Documents\TeamMethod\WP0520E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s01-ho-ho1-22/Shares1/Analysis/Marketing%20Initiatives/433.%20Outbound%20Roaming%20Summer%20Campaign/TRA_PCRV3_Roaming_Outbound_summercampaign_06061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mahanna_mac/Oracle%20Content%20-%20Accounts/Oracle%20Content/EMEA%20OCI%20CoE%20Team%20(Gerome%20De%20gea)/INTERNAL%20MATERIAL/FY21%20Enablement/Cloud%20Amplify%20&amp;%20Grow/Sizing%20Tools/EBS%20Sizing%20-%20v3.2%20-%20Baseline.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vrsharma/AppData/Local/Microsoft/Windows/Temporary%20Internet%20Files/Content.Outlook/7O8W3THN/Industry%20(APQC)%20Data%20-%20Slider%20Bar%20Benchmarks%20(4).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E:\Users\dmelo\AppData\Local\Microsoft\Windows\Temporary%20Internet%20Files\Content.Outlook\5IQXOI9X\BC%20TEMPLATE%204%202.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mmuhtadi/Desktop/MASTER-OPC/BoM/PRICING-CALCULATORS/UNIVERSAL-CREDITS/UCC%20Flex%20Checker.xlsx"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Clean%20Data%20Input%20Sheet%20VCA%202014.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G:\FF&amp;A\Analysis\Marketing%20Initiatives\433.%20Outbound%20Roaming%20Summer%20Campaign\TRA_PCRV3_Roaming_Outbound_summercampaign_06061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Work/Fusion%20ERP/Fusion%20UK%20SaaS%20Campaign/FY%202014-15/Paul%20Lawrence/Leicestershire%20Police/Leicestershire%20Police_October%202014_v1.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Documents%20and%20Settings\548286\Desktop\Etisalat\Mobile%20Model\Etisalat%20UAE%20-%20Mobile%20Business%20Plans%20v2.3.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Users/mahanna_mac/Downloads/Hyperion%20Sizing%20-%20v3.2.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s01-ho-ho1-22/Shares5/Shares5/Users/wpeiris/AppData/Local/Temp/Temp1_Etisalat%20UAE%20-%20Packages%20Business%20Plans%20v1%204%20xls.zip/UAE%20P&amp;S%20vtemp.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E:\Users\Etisalat\AppData\Local\Microsoft\Windows\Temporary%20Internet%20Files\Content.Outlook\GGEI3931\2621%20160404_BC_CCTV%20for%20Cloud%20Survaillance_total_v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Review"/>
      <sheetName val="01-Discovery-OMF"/>
      <sheetName val="02-Analysis-OMF"/>
      <sheetName val="02B-GG-Analysis-OMF"/>
      <sheetName val="03-Target_DB_Configuration-OMF"/>
      <sheetName val="04A-Migration-Runbook"/>
      <sheetName val="04A-GG-Migration-Runbook"/>
      <sheetName val="04B-Migration-Source-T-Systems"/>
      <sheetName val="05-Migration-Target-OMF"/>
      <sheetName val="06-Pre_Testing_Buddy_Check-OMF"/>
      <sheetName val="07-Testing-Accenture"/>
      <sheetName val="08-Transition-OMF"/>
    </sheetNames>
    <sheetDataSet>
      <sheetData sheetId="0" refreshError="1"/>
      <sheetData sheetId="1" refreshError="1"/>
      <sheetData sheetId="2">
        <row r="12">
          <cell r="D12" t="str">
            <v>&lt;Database Instance&gt;</v>
          </cell>
        </row>
        <row r="14">
          <cell r="D14" t="str">
            <v>&lt;Database Server&gt;</v>
          </cell>
        </row>
        <row r="70">
          <cell r="C70" t="str">
            <v>Low / Bronze</v>
          </cell>
          <cell r="E70" t="str">
            <v>Choose datacenter …</v>
          </cell>
        </row>
        <row r="71">
          <cell r="C71" t="str">
            <v>Normal / Silver</v>
          </cell>
          <cell r="E71" t="str">
            <v>AMS-DC1</v>
          </cell>
        </row>
        <row r="72">
          <cell r="C72" t="str">
            <v>High / Gold</v>
          </cell>
          <cell r="E72" t="str">
            <v>AMS-DC2</v>
          </cell>
        </row>
        <row r="73">
          <cell r="C73" t="str">
            <v>Critical / Platinum</v>
          </cell>
          <cell r="E73" t="str">
            <v>AMS-D2A</v>
          </cell>
        </row>
        <row r="74">
          <cell r="C74" t="str">
            <v>Critical+ / Platinum+</v>
          </cell>
          <cell r="E74" t="str">
            <v>MUN-TSE (Munich Eip)</v>
          </cell>
        </row>
        <row r="75">
          <cell r="E75" t="str">
            <v>MUN-TSA (Munich Allach)</v>
          </cell>
        </row>
        <row r="76">
          <cell r="E76" t="str">
            <v xml:space="preserve">HOUIC (Old Spanish Trail) </v>
          </cell>
        </row>
        <row r="77">
          <cell r="E77" t="str">
            <v>HOU-CY1 (Cyrus1)</v>
          </cell>
        </row>
        <row r="78">
          <cell r="E78" t="str">
            <v>HOU-MONTSW (Westland Bunker)</v>
          </cell>
        </row>
      </sheetData>
      <sheetData sheetId="3">
        <row r="116">
          <cell r="E116" t="str">
            <v>Yes</v>
          </cell>
        </row>
        <row r="117">
          <cell r="E117" t="str">
            <v>No</v>
          </cell>
        </row>
      </sheetData>
      <sheetData sheetId="4" refreshError="1"/>
      <sheetData sheetId="5">
        <row r="4">
          <cell r="C4" t="str">
            <v>&lt;New Target SID&gt;</v>
          </cell>
        </row>
        <row r="460">
          <cell r="W460" t="str">
            <v>Low</v>
          </cell>
          <cell r="AA460" t="str">
            <v>AMS-D2A</v>
          </cell>
          <cell r="AB460" t="str">
            <v>A4XA1</v>
          </cell>
          <cell r="AD460" t="str">
            <v>Yes</v>
          </cell>
          <cell r="AE460" t="str">
            <v>Primary (RAC1Node)</v>
          </cell>
          <cell r="AF460" t="str">
            <v>Dataguard Standy Node1</v>
          </cell>
          <cell r="AG460" t="str">
            <v/>
          </cell>
        </row>
        <row r="461">
          <cell r="W461" t="str">
            <v>Normal</v>
          </cell>
          <cell r="AA461" t="str">
            <v>MUN-TSE</v>
          </cell>
          <cell r="AB461" t="str">
            <v>A4XA2</v>
          </cell>
          <cell r="AC461" t="str">
            <v>RAC1Node</v>
          </cell>
          <cell r="AD461" t="str">
            <v>No</v>
          </cell>
          <cell r="AE461" t="str">
            <v>Failover (RAC1Node)</v>
          </cell>
          <cell r="AF461" t="str">
            <v>Dataguard Standy Node2</v>
          </cell>
          <cell r="AG461" t="str">
            <v>Choose a server …</v>
          </cell>
        </row>
        <row r="462">
          <cell r="W462" t="str">
            <v>High</v>
          </cell>
          <cell r="AA462" t="str">
            <v>MUN-TSA</v>
          </cell>
          <cell r="AB462" t="str">
            <v>A4XB1</v>
          </cell>
          <cell r="AC462" t="str">
            <v>RAC (2 nodes)</v>
          </cell>
          <cell r="AE462" t="str">
            <v>Node1 (RAC)</v>
          </cell>
          <cell r="AF462" t="str">
            <v>Dataguard Standy Node3</v>
          </cell>
          <cell r="AG462" t="str">
            <v>a4xa101.europe.shell.com</v>
          </cell>
        </row>
        <row r="463">
          <cell r="W463" t="str">
            <v>Critical</v>
          </cell>
          <cell r="AA463" t="str">
            <v>HOU-CY1</v>
          </cell>
          <cell r="AB463" t="str">
            <v>A4XB2</v>
          </cell>
          <cell r="AC463" t="str">
            <v>RAC (3 nodes)</v>
          </cell>
          <cell r="AE463" t="str">
            <v>Node2 (RAC)</v>
          </cell>
          <cell r="AF463" t="str">
            <v>Dataguard Standy Node4</v>
          </cell>
          <cell r="AG463" t="str">
            <v>a4xa102.europe.shell.com</v>
          </cell>
        </row>
        <row r="464">
          <cell r="W464" t="str">
            <v>Critical+</v>
          </cell>
          <cell r="AA464" t="str">
            <v>HOU-MONTSW</v>
          </cell>
          <cell r="AB464" t="str">
            <v>M3XA1</v>
          </cell>
          <cell r="AC464" t="str">
            <v>RAC (4 nodes)</v>
          </cell>
          <cell r="AE464" t="str">
            <v>Node3 (RAC)</v>
          </cell>
          <cell r="AG464" t="str">
            <v>a4xa103.europe.shell.com</v>
          </cell>
        </row>
        <row r="465">
          <cell r="AB465" t="str">
            <v>M3XA2</v>
          </cell>
          <cell r="AE465" t="str">
            <v>Node4 (RAC)</v>
          </cell>
          <cell r="AG465" t="str">
            <v>a4xa104.europe.shell.com</v>
          </cell>
        </row>
        <row r="466">
          <cell r="AB466" t="str">
            <v>M3XB1</v>
          </cell>
          <cell r="AG466" t="str">
            <v>a4xa201.europe.shell.com</v>
          </cell>
        </row>
        <row r="467">
          <cell r="AB467" t="str">
            <v>M3XB2</v>
          </cell>
          <cell r="AG467" t="str">
            <v>a4xa202.europe.shell.com</v>
          </cell>
        </row>
        <row r="468">
          <cell r="AB468" t="str">
            <v>M4XA1</v>
          </cell>
          <cell r="AG468" t="str">
            <v>a4xa203.europe.shell.com</v>
          </cell>
        </row>
        <row r="469">
          <cell r="AB469" t="str">
            <v>M4XA2</v>
          </cell>
          <cell r="AG469" t="str">
            <v>a4xa204.europe.shell.com</v>
          </cell>
        </row>
        <row r="470">
          <cell r="AB470" t="str">
            <v>H3XA1</v>
          </cell>
          <cell r="AG470" t="str">
            <v>a4xb101.europe.shell.com</v>
          </cell>
        </row>
        <row r="471">
          <cell r="AB471" t="str">
            <v>H3XA2</v>
          </cell>
          <cell r="AG471" t="str">
            <v>a4xb102.europe.shell.com</v>
          </cell>
        </row>
        <row r="472">
          <cell r="AB472" t="str">
            <v>H3XB1</v>
          </cell>
          <cell r="AG472" t="str">
            <v>a4xb103.europe.shell.com</v>
          </cell>
        </row>
        <row r="473">
          <cell r="AB473" t="str">
            <v>H4XA1</v>
          </cell>
          <cell r="AG473" t="str">
            <v>a4xb104.europe.shell.com</v>
          </cell>
        </row>
        <row r="474">
          <cell r="AG474" t="str">
            <v>a4xb201.europe.shell.com</v>
          </cell>
        </row>
        <row r="475">
          <cell r="AG475" t="str">
            <v>a4xb202.europe.shell.com</v>
          </cell>
        </row>
        <row r="476">
          <cell r="AG476" t="str">
            <v>a4xb203.europe.shell.com</v>
          </cell>
        </row>
        <row r="477">
          <cell r="AG477" t="str">
            <v>a4xb204.europe.shell.com</v>
          </cell>
        </row>
        <row r="478">
          <cell r="AG478" t="str">
            <v>m3xa101.europe.shell.com</v>
          </cell>
        </row>
        <row r="479">
          <cell r="AG479" t="str">
            <v>m3xa102.europe.shell.com</v>
          </cell>
        </row>
        <row r="480">
          <cell r="AG480" t="str">
            <v>m3xa103.europe.shell.com</v>
          </cell>
        </row>
        <row r="481">
          <cell r="AG481" t="str">
            <v>m3xa104.europe.shell.com</v>
          </cell>
        </row>
        <row r="482">
          <cell r="AG482" t="str">
            <v>m3xa201.europe.shell.com</v>
          </cell>
        </row>
        <row r="483">
          <cell r="AG483" t="str">
            <v>m3xa202.europe.shell.com</v>
          </cell>
        </row>
        <row r="484">
          <cell r="AG484" t="str">
            <v>m3xa203.europe.shell.com</v>
          </cell>
        </row>
        <row r="485">
          <cell r="AG485" t="str">
            <v>m3xa204.europe.shell.com</v>
          </cell>
        </row>
        <row r="486">
          <cell r="AG486" t="str">
            <v>m3xb101.europe.shell.com</v>
          </cell>
        </row>
        <row r="487">
          <cell r="AG487" t="str">
            <v>m3xb102.europe.shell.com</v>
          </cell>
        </row>
        <row r="488">
          <cell r="AG488" t="str">
            <v>m3xb103.europe.shell.com</v>
          </cell>
        </row>
        <row r="489">
          <cell r="AG489" t="str">
            <v>m3xb104.europe.shell.com</v>
          </cell>
        </row>
        <row r="490">
          <cell r="AG490" t="str">
            <v>m3xb201.europe.shell.com</v>
          </cell>
        </row>
        <row r="491">
          <cell r="AG491" t="str">
            <v>m3xb202.europe.shell.com</v>
          </cell>
        </row>
        <row r="492">
          <cell r="AG492" t="str">
            <v>m3xb203.europe.shell.com</v>
          </cell>
        </row>
        <row r="493">
          <cell r="AG493" t="str">
            <v>m3xb204.europe.shell.com</v>
          </cell>
        </row>
        <row r="494">
          <cell r="AG494" t="str">
            <v>m4xa101.europe.shell.com</v>
          </cell>
        </row>
        <row r="495">
          <cell r="AG495" t="str">
            <v>m4xa102.europe.shell.com</v>
          </cell>
        </row>
        <row r="496">
          <cell r="AG496" t="str">
            <v>m4xa103.europe.shell.com</v>
          </cell>
        </row>
        <row r="497">
          <cell r="AG497" t="str">
            <v>m4xa104.europe.shell.com</v>
          </cell>
        </row>
        <row r="498">
          <cell r="AG498" t="str">
            <v>m4xa201.europe.shell.com</v>
          </cell>
        </row>
        <row r="499">
          <cell r="AG499" t="str">
            <v>m4xa202.europe.shell.com</v>
          </cell>
        </row>
        <row r="500">
          <cell r="AG500" t="str">
            <v>m4xa203.europe.shell.com</v>
          </cell>
        </row>
        <row r="501">
          <cell r="AG501" t="str">
            <v>m4xa204.europe.shell.com</v>
          </cell>
        </row>
        <row r="502">
          <cell r="AG502" t="str">
            <v>h3xa101.americas.shell.com</v>
          </cell>
        </row>
        <row r="503">
          <cell r="AG503" t="str">
            <v>h3xa102.americas.shell.com</v>
          </cell>
        </row>
        <row r="504">
          <cell r="AG504" t="str">
            <v>h3xa103.americas.shell.com</v>
          </cell>
        </row>
        <row r="505">
          <cell r="AG505" t="str">
            <v>h3xa104.americas.shell.com</v>
          </cell>
        </row>
        <row r="506">
          <cell r="AG506" t="str">
            <v>h3xa201.americas.shell.com</v>
          </cell>
        </row>
        <row r="507">
          <cell r="AG507" t="str">
            <v>h3xa202.americas.shell.com</v>
          </cell>
        </row>
        <row r="508">
          <cell r="AG508" t="str">
            <v>h3xa203.americas.shell.com</v>
          </cell>
        </row>
        <row r="509">
          <cell r="AG509" t="str">
            <v>h3xa204.americas.shell.com</v>
          </cell>
        </row>
        <row r="510">
          <cell r="AG510" t="str">
            <v>h3xb101.americas.shell.com</v>
          </cell>
        </row>
        <row r="511">
          <cell r="AG511" t="str">
            <v>h3xb102.americas.shell.com</v>
          </cell>
        </row>
        <row r="512">
          <cell r="AG512" t="str">
            <v>h3xb103.americas.shell.com</v>
          </cell>
        </row>
        <row r="513">
          <cell r="AG513" t="str">
            <v>h3xb104.americas.shell.com</v>
          </cell>
        </row>
        <row r="514">
          <cell r="AG514" t="str">
            <v>h4xa101.americas.shell.com</v>
          </cell>
        </row>
        <row r="515">
          <cell r="AG515" t="str">
            <v>h4xa102.americas.shell.com</v>
          </cell>
        </row>
        <row r="516">
          <cell r="AG516" t="str">
            <v>h4xa103.americas.shell.com</v>
          </cell>
        </row>
        <row r="517">
          <cell r="AG517" t="str">
            <v>h4xa104.americas.shell.com</v>
          </cell>
        </row>
      </sheetData>
      <sheetData sheetId="6">
        <row r="39">
          <cell r="D39" t="str">
            <v>Discovery</v>
          </cell>
          <cell r="E39" t="str">
            <v>Accenture</v>
          </cell>
          <cell r="F39" t="str">
            <v>Pending</v>
          </cell>
        </row>
        <row r="40">
          <cell r="D40" t="str">
            <v>Analysis</v>
          </cell>
          <cell r="E40" t="str">
            <v>T-Systems</v>
          </cell>
          <cell r="F40" t="str">
            <v>In action</v>
          </cell>
        </row>
        <row r="41">
          <cell r="D41" t="str">
            <v>Migrate</v>
          </cell>
          <cell r="E41" t="str">
            <v>Oracle</v>
          </cell>
          <cell r="F41" t="str">
            <v>On hold</v>
          </cell>
        </row>
        <row r="42">
          <cell r="D42" t="str">
            <v>Test</v>
          </cell>
          <cell r="E42" t="str">
            <v>Shell</v>
          </cell>
          <cell r="F42" t="str">
            <v>Finished</v>
          </cell>
        </row>
        <row r="43">
          <cell r="D43" t="str">
            <v>Transition</v>
          </cell>
        </row>
      </sheetData>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LANK"/>
      <sheetName val="Index"/>
      <sheetName val="Data"/>
      <sheetName val="Benefits summary"/>
      <sheetName val="Phasing table"/>
      <sheetName val="Growth table"/>
      <sheetName val="Investment inputs"/>
      <sheetName val="ROI summary"/>
      <sheetName val="ROI charts"/>
      <sheetName val="ROI scenarios"/>
      <sheetName val="Waterfall Chart"/>
      <sheetName val="INTEGRATION =&gt;"/>
      <sheetName val="Improved App Time"/>
      <sheetName val="Reduced Data Mgmt"/>
      <sheetName val="Reduced Report Gen Int"/>
      <sheetName val="Improved Emp Prod Int"/>
      <sheetName val="Reduced IT Integration"/>
      <sheetName val="BLANK =&gt;"/>
      <sheetName val="Ben A"/>
      <sheetName val="Ben B"/>
      <sheetName val="Ben C"/>
      <sheetName val="Ben D"/>
      <sheetName val="Ben E"/>
      <sheetName val="Line Items"/>
    </sheetNames>
    <sheetDataSet>
      <sheetData sheetId="0"/>
      <sheetData sheetId="1"/>
      <sheetData sheetId="2">
        <row r="3">
          <cell r="C3" t="str">
            <v>XYZ Inc.</v>
          </cell>
        </row>
        <row r="12">
          <cell r="C12">
            <v>0.12</v>
          </cell>
        </row>
      </sheetData>
      <sheetData sheetId="3">
        <row r="4">
          <cell r="C4">
            <v>0</v>
          </cell>
          <cell r="D4" t="str">
            <v/>
          </cell>
          <cell r="E4" t="str">
            <v>0</v>
          </cell>
          <cell r="F4" t="str">
            <v>0</v>
          </cell>
          <cell r="G4" t="str">
            <v>0</v>
          </cell>
          <cell r="H4" t="str">
            <v/>
          </cell>
          <cell r="I4">
            <v>0</v>
          </cell>
        </row>
        <row r="5">
          <cell r="C5">
            <v>0</v>
          </cell>
          <cell r="D5" t="str">
            <v/>
          </cell>
          <cell r="E5" t="str">
            <v>0</v>
          </cell>
          <cell r="F5" t="str">
            <v>0</v>
          </cell>
          <cell r="G5" t="str">
            <v>0</v>
          </cell>
          <cell r="H5" t="str">
            <v/>
          </cell>
          <cell r="I5">
            <v>0</v>
          </cell>
        </row>
        <row r="6">
          <cell r="C6">
            <v>0</v>
          </cell>
          <cell r="D6" t="str">
            <v/>
          </cell>
          <cell r="E6" t="str">
            <v>0</v>
          </cell>
          <cell r="F6" t="str">
            <v>0</v>
          </cell>
          <cell r="G6" t="str">
            <v>0</v>
          </cell>
          <cell r="H6" t="str">
            <v/>
          </cell>
          <cell r="I6">
            <v>0</v>
          </cell>
        </row>
        <row r="7">
          <cell r="C7">
            <v>0</v>
          </cell>
          <cell r="D7" t="str">
            <v/>
          </cell>
          <cell r="E7" t="str">
            <v>0</v>
          </cell>
          <cell r="F7" t="str">
            <v>0</v>
          </cell>
          <cell r="G7" t="str">
            <v>0</v>
          </cell>
          <cell r="H7" t="str">
            <v/>
          </cell>
          <cell r="I7">
            <v>0</v>
          </cell>
        </row>
        <row r="8">
          <cell r="C8">
            <v>0</v>
          </cell>
          <cell r="D8" t="str">
            <v/>
          </cell>
          <cell r="E8" t="str">
            <v>0</v>
          </cell>
          <cell r="F8" t="str">
            <v>0</v>
          </cell>
          <cell r="G8" t="str">
            <v>0</v>
          </cell>
          <cell r="H8" t="str">
            <v/>
          </cell>
          <cell r="I8">
            <v>0</v>
          </cell>
        </row>
        <row r="9">
          <cell r="C9">
            <v>0</v>
          </cell>
          <cell r="D9" t="str">
            <v/>
          </cell>
          <cell r="E9" t="str">
            <v>0</v>
          </cell>
          <cell r="F9" t="str">
            <v>0</v>
          </cell>
          <cell r="G9" t="str">
            <v>0</v>
          </cell>
          <cell r="H9" t="str">
            <v/>
          </cell>
          <cell r="I9">
            <v>0</v>
          </cell>
        </row>
        <row r="10">
          <cell r="C10">
            <v>0</v>
          </cell>
          <cell r="D10" t="str">
            <v/>
          </cell>
          <cell r="E10" t="str">
            <v>0</v>
          </cell>
          <cell r="F10" t="str">
            <v>0</v>
          </cell>
          <cell r="G10" t="str">
            <v>0</v>
          </cell>
          <cell r="H10" t="str">
            <v/>
          </cell>
          <cell r="I10">
            <v>0</v>
          </cell>
        </row>
        <row r="11">
          <cell r="C11">
            <v>1</v>
          </cell>
          <cell r="D11" t="str">
            <v>Improved Application Time to Market</v>
          </cell>
          <cell r="E11">
            <v>147.75966</v>
          </cell>
          <cell r="F11">
            <v>295.51931999999999</v>
          </cell>
          <cell r="G11">
            <v>394.02575999999999</v>
          </cell>
          <cell r="H11" t="str">
            <v>link</v>
          </cell>
          <cell r="I11">
            <v>1</v>
          </cell>
        </row>
        <row r="12">
          <cell r="C12">
            <v>2</v>
          </cell>
          <cell r="D12" t="str">
            <v>Reduced Data Management Costs</v>
          </cell>
          <cell r="E12">
            <v>180.22174999999999</v>
          </cell>
          <cell r="F12">
            <v>360.44349999999997</v>
          </cell>
          <cell r="G12">
            <v>540.66525000000001</v>
          </cell>
          <cell r="H12" t="str">
            <v>link</v>
          </cell>
          <cell r="I12">
            <v>1</v>
          </cell>
        </row>
        <row r="13">
          <cell r="C13">
            <v>2</v>
          </cell>
          <cell r="D13" t="str">
            <v/>
          </cell>
          <cell r="E13" t="str">
            <v>0</v>
          </cell>
          <cell r="F13" t="str">
            <v>0</v>
          </cell>
          <cell r="G13" t="str">
            <v>0</v>
          </cell>
          <cell r="H13" t="str">
            <v/>
          </cell>
          <cell r="I13">
            <v>0</v>
          </cell>
        </row>
        <row r="14">
          <cell r="C14">
            <v>3</v>
          </cell>
          <cell r="D14" t="str">
            <v>Reduced Report Generation Costs</v>
          </cell>
          <cell r="E14">
            <v>865.06439999999998</v>
          </cell>
          <cell r="F14">
            <v>1211.09016</v>
          </cell>
          <cell r="G14">
            <v>1557.1159200000002</v>
          </cell>
          <cell r="H14" t="str">
            <v>link</v>
          </cell>
          <cell r="I14">
            <v>1</v>
          </cell>
        </row>
        <row r="15">
          <cell r="C15">
            <v>4</v>
          </cell>
          <cell r="D15" t="str">
            <v>Improved Employee Productivity Due to Integration</v>
          </cell>
          <cell r="E15">
            <v>163.29150000000001</v>
          </cell>
          <cell r="F15">
            <v>326.58300000000003</v>
          </cell>
          <cell r="G15">
            <v>489.87450000000001</v>
          </cell>
          <cell r="H15" t="str">
            <v>link</v>
          </cell>
          <cell r="I15">
            <v>1</v>
          </cell>
        </row>
        <row r="16">
          <cell r="C16">
            <v>4</v>
          </cell>
          <cell r="D16" t="str">
            <v/>
          </cell>
          <cell r="E16" t="str">
            <v>0</v>
          </cell>
          <cell r="F16" t="str">
            <v>0</v>
          </cell>
          <cell r="G16" t="str">
            <v>0</v>
          </cell>
          <cell r="H16" t="str">
            <v/>
          </cell>
          <cell r="I16">
            <v>0</v>
          </cell>
        </row>
        <row r="17">
          <cell r="C17">
            <v>4</v>
          </cell>
          <cell r="D17" t="str">
            <v/>
          </cell>
          <cell r="E17" t="str">
            <v>0</v>
          </cell>
          <cell r="F17" t="str">
            <v>0</v>
          </cell>
          <cell r="G17" t="str">
            <v>0</v>
          </cell>
          <cell r="H17" t="str">
            <v/>
          </cell>
          <cell r="I17">
            <v>0</v>
          </cell>
        </row>
        <row r="18">
          <cell r="C18">
            <v>5</v>
          </cell>
          <cell r="D18" t="str">
            <v>Reduced IT Integration Costs</v>
          </cell>
          <cell r="E18">
            <v>404.14727437499999</v>
          </cell>
          <cell r="F18">
            <v>673.57879062500001</v>
          </cell>
          <cell r="G18">
            <v>943.01030687499997</v>
          </cell>
          <cell r="H18" t="str">
            <v>link</v>
          </cell>
          <cell r="I18">
            <v>1</v>
          </cell>
        </row>
        <row r="21">
          <cell r="C21">
            <v>5</v>
          </cell>
          <cell r="D21" t="str">
            <v/>
          </cell>
          <cell r="E21" t="str">
            <v>0</v>
          </cell>
          <cell r="F21" t="str">
            <v>0</v>
          </cell>
          <cell r="G21" t="str">
            <v>0</v>
          </cell>
          <cell r="H21" t="str">
            <v/>
          </cell>
          <cell r="I21">
            <v>0</v>
          </cell>
        </row>
        <row r="22">
          <cell r="C22">
            <v>5</v>
          </cell>
          <cell r="D22" t="str">
            <v/>
          </cell>
          <cell r="E22" t="str">
            <v>0</v>
          </cell>
          <cell r="F22" t="str">
            <v>0</v>
          </cell>
          <cell r="G22" t="str">
            <v>0</v>
          </cell>
          <cell r="H22" t="str">
            <v/>
          </cell>
          <cell r="I22">
            <v>0</v>
          </cell>
        </row>
        <row r="23">
          <cell r="C23">
            <v>5</v>
          </cell>
          <cell r="D23" t="str">
            <v/>
          </cell>
          <cell r="E23" t="str">
            <v>0</v>
          </cell>
          <cell r="F23" t="str">
            <v>0</v>
          </cell>
          <cell r="G23" t="str">
            <v>0</v>
          </cell>
          <cell r="H23" t="str">
            <v/>
          </cell>
          <cell r="I23">
            <v>0</v>
          </cell>
        </row>
        <row r="24">
          <cell r="C24">
            <v>5</v>
          </cell>
          <cell r="D24" t="str">
            <v/>
          </cell>
          <cell r="E24" t="str">
            <v>0</v>
          </cell>
          <cell r="F24" t="str">
            <v>0</v>
          </cell>
          <cell r="G24" t="str">
            <v>0</v>
          </cell>
          <cell r="H24" t="str">
            <v/>
          </cell>
          <cell r="I24">
            <v>0</v>
          </cell>
        </row>
        <row r="25">
          <cell r="C25">
            <v>5</v>
          </cell>
          <cell r="D25" t="str">
            <v/>
          </cell>
          <cell r="E25" t="str">
            <v>0</v>
          </cell>
          <cell r="F25" t="str">
            <v>0</v>
          </cell>
          <cell r="G25" t="str">
            <v>0</v>
          </cell>
          <cell r="H25" t="str">
            <v/>
          </cell>
          <cell r="I25">
            <v>0</v>
          </cell>
        </row>
        <row r="31">
          <cell r="D31" t="str">
            <v/>
          </cell>
          <cell r="E31" t="str">
            <v>0</v>
          </cell>
          <cell r="F31" t="str">
            <v>0</v>
          </cell>
          <cell r="G31" t="str">
            <v>0</v>
          </cell>
          <cell r="I31">
            <v>0</v>
          </cell>
        </row>
        <row r="32">
          <cell r="D32" t="str">
            <v/>
          </cell>
          <cell r="E32" t="str">
            <v>0</v>
          </cell>
          <cell r="F32" t="str">
            <v>0</v>
          </cell>
          <cell r="G32" t="str">
            <v>0</v>
          </cell>
          <cell r="I32">
            <v>0</v>
          </cell>
        </row>
        <row r="33">
          <cell r="D33" t="str">
            <v/>
          </cell>
          <cell r="E33" t="str">
            <v>0</v>
          </cell>
          <cell r="F33" t="str">
            <v>0</v>
          </cell>
          <cell r="G33" t="str">
            <v>0</v>
          </cell>
          <cell r="I33">
            <v>0</v>
          </cell>
        </row>
        <row r="34">
          <cell r="D34" t="str">
            <v/>
          </cell>
          <cell r="E34" t="str">
            <v>0</v>
          </cell>
          <cell r="F34" t="str">
            <v>0</v>
          </cell>
          <cell r="G34" t="str">
            <v>0</v>
          </cell>
          <cell r="I34">
            <v>0</v>
          </cell>
        </row>
        <row r="35">
          <cell r="D35" t="str">
            <v/>
          </cell>
          <cell r="E35" t="str">
            <v>0</v>
          </cell>
          <cell r="F35" t="str">
            <v>0</v>
          </cell>
          <cell r="G35" t="str">
            <v>0</v>
          </cell>
          <cell r="I35">
            <v>0</v>
          </cell>
        </row>
        <row r="36">
          <cell r="D36" t="str">
            <v/>
          </cell>
          <cell r="E36" t="str">
            <v>0</v>
          </cell>
          <cell r="F36" t="str">
            <v>0</v>
          </cell>
          <cell r="G36" t="str">
            <v>0</v>
          </cell>
          <cell r="I36">
            <v>0</v>
          </cell>
        </row>
        <row r="37">
          <cell r="D37" t="str">
            <v/>
          </cell>
          <cell r="E37" t="str">
            <v>0</v>
          </cell>
          <cell r="F37" t="str">
            <v>0</v>
          </cell>
          <cell r="G37" t="str">
            <v>0</v>
          </cell>
          <cell r="I37">
            <v>0</v>
          </cell>
        </row>
        <row r="38">
          <cell r="D38" t="str">
            <v>Improved Application Time to Market</v>
          </cell>
          <cell r="E38">
            <v>147.75966</v>
          </cell>
          <cell r="F38">
            <v>295.51931999999999</v>
          </cell>
          <cell r="G38">
            <v>394.02575999999999</v>
          </cell>
          <cell r="I38">
            <v>1</v>
          </cell>
        </row>
        <row r="39">
          <cell r="D39" t="str">
            <v>Reduced Data Management Costs</v>
          </cell>
          <cell r="E39">
            <v>180.22174999999999</v>
          </cell>
          <cell r="F39">
            <v>360.44349999999997</v>
          </cell>
          <cell r="G39">
            <v>540.66525000000001</v>
          </cell>
          <cell r="I39">
            <v>1</v>
          </cell>
        </row>
        <row r="40">
          <cell r="D40" t="str">
            <v/>
          </cell>
          <cell r="E40" t="str">
            <v>0</v>
          </cell>
          <cell r="F40" t="str">
            <v>0</v>
          </cell>
          <cell r="G40" t="str">
            <v>0</v>
          </cell>
          <cell r="I40">
            <v>0</v>
          </cell>
        </row>
        <row r="41">
          <cell r="D41" t="str">
            <v>Reduced Report Generation Costs</v>
          </cell>
          <cell r="E41">
            <v>865.06439999999998</v>
          </cell>
          <cell r="F41">
            <v>1211.09016</v>
          </cell>
          <cell r="G41">
            <v>1557.1159200000002</v>
          </cell>
          <cell r="I41">
            <v>1</v>
          </cell>
        </row>
        <row r="42">
          <cell r="D42" t="str">
            <v>Improved Employee Productivity Due to Integration</v>
          </cell>
          <cell r="E42">
            <v>163.29150000000001</v>
          </cell>
          <cell r="F42">
            <v>326.58300000000003</v>
          </cell>
          <cell r="G42">
            <v>489.87450000000001</v>
          </cell>
          <cell r="I42">
            <v>1</v>
          </cell>
        </row>
        <row r="43">
          <cell r="D43" t="str">
            <v/>
          </cell>
          <cell r="E43" t="str">
            <v>0</v>
          </cell>
          <cell r="F43" t="str">
            <v>0</v>
          </cell>
          <cell r="G43" t="str">
            <v>0</v>
          </cell>
          <cell r="I43">
            <v>0</v>
          </cell>
        </row>
        <row r="44">
          <cell r="D44" t="str">
            <v/>
          </cell>
          <cell r="E44" t="str">
            <v>0</v>
          </cell>
          <cell r="F44" t="str">
            <v>0</v>
          </cell>
          <cell r="G44" t="str">
            <v>0</v>
          </cell>
          <cell r="I44">
            <v>0</v>
          </cell>
        </row>
        <row r="45">
          <cell r="D45" t="str">
            <v>Reduced IT Integration Costs</v>
          </cell>
          <cell r="E45">
            <v>404.14727437499999</v>
          </cell>
          <cell r="F45">
            <v>673.57879062500001</v>
          </cell>
          <cell r="G45">
            <v>943.01030687499997</v>
          </cell>
          <cell r="I45">
            <v>1</v>
          </cell>
        </row>
        <row r="46">
          <cell r="D46" t="str">
            <v/>
          </cell>
          <cell r="E46" t="str">
            <v>0</v>
          </cell>
          <cell r="F46" t="str">
            <v>0</v>
          </cell>
          <cell r="G46" t="str">
            <v>0</v>
          </cell>
          <cell r="I46">
            <v>0</v>
          </cell>
        </row>
        <row r="47">
          <cell r="D47" t="str">
            <v/>
          </cell>
          <cell r="E47" t="str">
            <v>0</v>
          </cell>
          <cell r="F47" t="str">
            <v>0</v>
          </cell>
          <cell r="G47" t="str">
            <v>0</v>
          </cell>
          <cell r="I47">
            <v>0</v>
          </cell>
        </row>
        <row r="48">
          <cell r="D48" t="str">
            <v/>
          </cell>
          <cell r="E48" t="str">
            <v>0</v>
          </cell>
          <cell r="F48" t="str">
            <v>0</v>
          </cell>
          <cell r="G48" t="str">
            <v>0</v>
          </cell>
          <cell r="I48">
            <v>0</v>
          </cell>
        </row>
        <row r="49">
          <cell r="D49" t="str">
            <v/>
          </cell>
          <cell r="E49" t="str">
            <v>0</v>
          </cell>
          <cell r="F49" t="str">
            <v>0</v>
          </cell>
          <cell r="G49" t="str">
            <v>0</v>
          </cell>
          <cell r="I49">
            <v>0</v>
          </cell>
        </row>
        <row r="50">
          <cell r="D50" t="str">
            <v/>
          </cell>
          <cell r="E50" t="str">
            <v>0</v>
          </cell>
          <cell r="F50" t="str">
            <v>0</v>
          </cell>
          <cell r="G50" t="str">
            <v>0</v>
          </cell>
          <cell r="I50">
            <v>0</v>
          </cell>
        </row>
        <row r="72">
          <cell r="A72" t="str">
            <v>&lt;&lt; --  INTEGRATION  -- &gt;&gt;</v>
          </cell>
        </row>
        <row r="73">
          <cell r="A73" t="str">
            <v>Improved App Time</v>
          </cell>
        </row>
        <row r="74">
          <cell r="A74" t="str">
            <v>Reduced Data Mgmt</v>
          </cell>
        </row>
        <row r="75">
          <cell r="A75" t="str">
            <v>Reduced Report Gen Int</v>
          </cell>
        </row>
        <row r="76">
          <cell r="A76" t="str">
            <v>Improved Emp Prod Int</v>
          </cell>
        </row>
        <row r="77">
          <cell r="A77" t="str">
            <v>Reduced IT Integration</v>
          </cell>
        </row>
        <row r="78">
          <cell r="A78" t="str">
            <v>&lt;&lt; --  BLANK BENEFITS  -- &gt;&gt;</v>
          </cell>
        </row>
        <row r="79">
          <cell r="A79" t="str">
            <v>Ben A</v>
          </cell>
        </row>
        <row r="80">
          <cell r="A80" t="str">
            <v>Ben B</v>
          </cell>
        </row>
        <row r="81">
          <cell r="A81" t="str">
            <v>Ben C</v>
          </cell>
        </row>
        <row r="82">
          <cell r="A82" t="str">
            <v>Ben D</v>
          </cell>
        </row>
        <row r="83">
          <cell r="A83" t="str">
            <v>Ben E</v>
          </cell>
        </row>
        <row r="84">
          <cell r="A84" t="str">
            <v>&lt;&lt; end-of-steady-state-list &gt;&gt;</v>
          </cell>
        </row>
        <row r="89">
          <cell r="A89">
            <v>0</v>
          </cell>
        </row>
        <row r="90">
          <cell r="A90" t="str">
            <v>&lt;&lt; ONE-TIME BENEFITS &gt;&gt;</v>
          </cell>
        </row>
        <row r="91">
          <cell r="A91" t="str">
            <v>Increased Supply Inv Turns</v>
          </cell>
        </row>
        <row r="92">
          <cell r="A92" t="str">
            <v>EPM Working Capital</v>
          </cell>
        </row>
        <row r="93">
          <cell r="A93" t="str">
            <v>Capital Asset Mgmt</v>
          </cell>
        </row>
        <row r="94">
          <cell r="A94" t="str">
            <v>Reduced DSO</v>
          </cell>
        </row>
        <row r="95">
          <cell r="A95" t="str">
            <v>Reduced FG Inv</v>
          </cell>
        </row>
        <row r="96">
          <cell r="A96" t="str">
            <v>MRO Inventory</v>
          </cell>
        </row>
        <row r="97">
          <cell r="A97" t="str">
            <v>&lt;&lt; end-of-one-time-list &gt;&gt;</v>
          </cell>
        </row>
      </sheetData>
      <sheetData sheetId="4">
        <row r="5">
          <cell r="C5">
            <v>0</v>
          </cell>
          <cell r="D5">
            <v>0.5</v>
          </cell>
          <cell r="E5">
            <v>0.75</v>
          </cell>
          <cell r="F5">
            <v>1</v>
          </cell>
          <cell r="G5">
            <v>1</v>
          </cell>
        </row>
        <row r="6">
          <cell r="C6">
            <v>0</v>
          </cell>
          <cell r="D6">
            <v>0.5</v>
          </cell>
          <cell r="E6">
            <v>0.75</v>
          </cell>
          <cell r="F6">
            <v>1</v>
          </cell>
          <cell r="G6">
            <v>1</v>
          </cell>
        </row>
        <row r="7">
          <cell r="C7">
            <v>0.1</v>
          </cell>
          <cell r="D7">
            <v>0.6</v>
          </cell>
          <cell r="E7">
            <v>0.8</v>
          </cell>
          <cell r="F7">
            <v>1</v>
          </cell>
          <cell r="G7">
            <v>1</v>
          </cell>
        </row>
        <row r="8">
          <cell r="C8">
            <v>0.1</v>
          </cell>
          <cell r="D8">
            <v>0.6</v>
          </cell>
          <cell r="E8">
            <v>0.8</v>
          </cell>
          <cell r="F8">
            <v>1</v>
          </cell>
          <cell r="G8">
            <v>1</v>
          </cell>
        </row>
        <row r="9">
          <cell r="C9">
            <v>0.1</v>
          </cell>
          <cell r="D9">
            <v>0.6</v>
          </cell>
          <cell r="E9">
            <v>0.8</v>
          </cell>
          <cell r="F9">
            <v>1</v>
          </cell>
          <cell r="G9">
            <v>1</v>
          </cell>
        </row>
        <row r="10">
          <cell r="C10">
            <v>0.1</v>
          </cell>
          <cell r="D10">
            <v>0.6</v>
          </cell>
          <cell r="E10">
            <v>0.8</v>
          </cell>
          <cell r="F10">
            <v>1</v>
          </cell>
          <cell r="G10">
            <v>1</v>
          </cell>
        </row>
        <row r="11">
          <cell r="C11">
            <v>0</v>
          </cell>
          <cell r="D11">
            <v>0.1</v>
          </cell>
          <cell r="E11">
            <v>0.6</v>
          </cell>
          <cell r="F11">
            <v>0.8</v>
          </cell>
          <cell r="G11">
            <v>1</v>
          </cell>
        </row>
        <row r="12">
          <cell r="C12">
            <v>0.5</v>
          </cell>
          <cell r="D12">
            <v>0.8</v>
          </cell>
          <cell r="E12">
            <v>1</v>
          </cell>
          <cell r="F12">
            <v>1</v>
          </cell>
          <cell r="G12">
            <v>1</v>
          </cell>
        </row>
        <row r="13">
          <cell r="C13">
            <v>0.5</v>
          </cell>
          <cell r="D13">
            <v>1</v>
          </cell>
          <cell r="E13">
            <v>1</v>
          </cell>
          <cell r="F13">
            <v>1</v>
          </cell>
          <cell r="G13">
            <v>1</v>
          </cell>
        </row>
        <row r="14">
          <cell r="C14">
            <v>0.1</v>
          </cell>
          <cell r="D14">
            <v>1</v>
          </cell>
          <cell r="E14">
            <v>1</v>
          </cell>
          <cell r="F14">
            <v>1</v>
          </cell>
          <cell r="G14">
            <v>1</v>
          </cell>
        </row>
        <row r="15">
          <cell r="C15">
            <v>0.5</v>
          </cell>
          <cell r="D15">
            <v>1</v>
          </cell>
          <cell r="E15">
            <v>1</v>
          </cell>
          <cell r="F15">
            <v>1</v>
          </cell>
          <cell r="G15">
            <v>1</v>
          </cell>
        </row>
        <row r="16">
          <cell r="C16">
            <v>0.5</v>
          </cell>
          <cell r="D16">
            <v>0.8</v>
          </cell>
          <cell r="E16">
            <v>1</v>
          </cell>
          <cell r="F16">
            <v>1</v>
          </cell>
          <cell r="G16">
            <v>1</v>
          </cell>
        </row>
        <row r="17">
          <cell r="C17">
            <v>0.1</v>
          </cell>
          <cell r="D17">
            <v>1</v>
          </cell>
          <cell r="E17">
            <v>1</v>
          </cell>
          <cell r="F17">
            <v>1</v>
          </cell>
          <cell r="G17">
            <v>1</v>
          </cell>
        </row>
        <row r="18">
          <cell r="C18">
            <v>0.1</v>
          </cell>
          <cell r="D18">
            <v>1</v>
          </cell>
          <cell r="E18">
            <v>1</v>
          </cell>
          <cell r="F18">
            <v>1</v>
          </cell>
          <cell r="G18">
            <v>1</v>
          </cell>
        </row>
        <row r="19">
          <cell r="C19">
            <v>0.5</v>
          </cell>
          <cell r="D19">
            <v>0.7</v>
          </cell>
          <cell r="E19">
            <v>1</v>
          </cell>
          <cell r="F19">
            <v>1</v>
          </cell>
          <cell r="G19">
            <v>1</v>
          </cell>
        </row>
        <row r="20">
          <cell r="C20">
            <v>0</v>
          </cell>
          <cell r="D20">
            <v>0.25</v>
          </cell>
          <cell r="E20">
            <v>0.25</v>
          </cell>
          <cell r="F20">
            <v>0.25</v>
          </cell>
          <cell r="G20">
            <v>0.25</v>
          </cell>
        </row>
        <row r="21">
          <cell r="C21">
            <v>0</v>
          </cell>
          <cell r="D21">
            <v>0.25</v>
          </cell>
          <cell r="E21">
            <v>0.25</v>
          </cell>
          <cell r="F21">
            <v>0.25</v>
          </cell>
          <cell r="G21">
            <v>0.25</v>
          </cell>
        </row>
        <row r="22">
          <cell r="C22">
            <v>0</v>
          </cell>
          <cell r="D22">
            <v>0.25</v>
          </cell>
          <cell r="E22">
            <v>0.25</v>
          </cell>
          <cell r="F22">
            <v>0.25</v>
          </cell>
          <cell r="G22">
            <v>0.25</v>
          </cell>
        </row>
        <row r="23">
          <cell r="C23">
            <v>0</v>
          </cell>
          <cell r="D23">
            <v>0.25</v>
          </cell>
          <cell r="E23">
            <v>0.25</v>
          </cell>
          <cell r="F23">
            <v>0.25</v>
          </cell>
          <cell r="G23">
            <v>0.25</v>
          </cell>
        </row>
        <row r="24">
          <cell r="C24">
            <v>0</v>
          </cell>
          <cell r="D24">
            <v>0.25</v>
          </cell>
          <cell r="E24">
            <v>0.25</v>
          </cell>
          <cell r="F24">
            <v>0.25</v>
          </cell>
          <cell r="G24">
            <v>0.25</v>
          </cell>
        </row>
      </sheetData>
      <sheetData sheetId="5">
        <row r="5">
          <cell r="D5">
            <v>100</v>
          </cell>
          <cell r="E5">
            <v>104</v>
          </cell>
          <cell r="F5">
            <v>108.16</v>
          </cell>
          <cell r="G5">
            <v>112.4864</v>
          </cell>
          <cell r="H5">
            <v>116.98585600000001</v>
          </cell>
        </row>
        <row r="6">
          <cell r="D6">
            <v>100</v>
          </cell>
          <cell r="E6">
            <v>104</v>
          </cell>
          <cell r="F6">
            <v>108.16</v>
          </cell>
          <cell r="G6">
            <v>112.4864</v>
          </cell>
          <cell r="H6">
            <v>116.98585600000001</v>
          </cell>
        </row>
        <row r="7">
          <cell r="D7">
            <v>100</v>
          </cell>
          <cell r="E7">
            <v>104</v>
          </cell>
          <cell r="F7">
            <v>108.16</v>
          </cell>
          <cell r="G7">
            <v>112.4864</v>
          </cell>
          <cell r="H7">
            <v>116.98585600000001</v>
          </cell>
        </row>
        <row r="8">
          <cell r="D8">
            <v>100</v>
          </cell>
          <cell r="E8">
            <v>104</v>
          </cell>
          <cell r="F8">
            <v>108.16</v>
          </cell>
          <cell r="G8">
            <v>112.4864</v>
          </cell>
          <cell r="H8">
            <v>116.98585600000001</v>
          </cell>
        </row>
        <row r="9">
          <cell r="D9">
            <v>100</v>
          </cell>
          <cell r="E9">
            <v>104</v>
          </cell>
          <cell r="F9">
            <v>108.16</v>
          </cell>
          <cell r="G9">
            <v>112.4864</v>
          </cell>
          <cell r="H9">
            <v>116.98585600000001</v>
          </cell>
        </row>
        <row r="10">
          <cell r="D10">
            <v>100</v>
          </cell>
          <cell r="E10">
            <v>104</v>
          </cell>
          <cell r="F10">
            <v>108.16</v>
          </cell>
          <cell r="G10">
            <v>112.4864</v>
          </cell>
          <cell r="H10">
            <v>116.98585600000001</v>
          </cell>
        </row>
        <row r="11">
          <cell r="D11">
            <v>100</v>
          </cell>
          <cell r="E11">
            <v>104</v>
          </cell>
          <cell r="F11">
            <v>108.16</v>
          </cell>
          <cell r="G11">
            <v>112.4864</v>
          </cell>
          <cell r="H11">
            <v>116.98585600000001</v>
          </cell>
        </row>
        <row r="12">
          <cell r="D12">
            <v>100</v>
          </cell>
          <cell r="E12">
            <v>104</v>
          </cell>
          <cell r="F12">
            <v>108.16</v>
          </cell>
          <cell r="G12">
            <v>112.4864</v>
          </cell>
          <cell r="H12">
            <v>116.98585600000001</v>
          </cell>
        </row>
        <row r="13">
          <cell r="D13">
            <v>100</v>
          </cell>
          <cell r="E13">
            <v>104</v>
          </cell>
          <cell r="F13">
            <v>108.16</v>
          </cell>
          <cell r="G13">
            <v>112.4864</v>
          </cell>
          <cell r="H13">
            <v>116.98585600000001</v>
          </cell>
        </row>
        <row r="14">
          <cell r="D14">
            <v>100</v>
          </cell>
          <cell r="E14">
            <v>104</v>
          </cell>
          <cell r="F14">
            <v>108.16</v>
          </cell>
          <cell r="G14">
            <v>112.4864</v>
          </cell>
          <cell r="H14">
            <v>116.98585600000001</v>
          </cell>
        </row>
        <row r="15">
          <cell r="D15">
            <v>100</v>
          </cell>
          <cell r="E15">
            <v>104</v>
          </cell>
          <cell r="F15">
            <v>108.16</v>
          </cell>
          <cell r="G15">
            <v>112.4864</v>
          </cell>
          <cell r="H15">
            <v>116.98585600000001</v>
          </cell>
        </row>
        <row r="16">
          <cell r="D16">
            <v>100</v>
          </cell>
          <cell r="E16">
            <v>104</v>
          </cell>
          <cell r="F16">
            <v>108.16</v>
          </cell>
          <cell r="G16">
            <v>112.4864</v>
          </cell>
          <cell r="H16">
            <v>116.98585600000001</v>
          </cell>
        </row>
        <row r="17">
          <cell r="D17">
            <v>100</v>
          </cell>
          <cell r="E17">
            <v>104</v>
          </cell>
          <cell r="F17">
            <v>108.16</v>
          </cell>
          <cell r="G17">
            <v>112.4864</v>
          </cell>
          <cell r="H17">
            <v>116.98585600000001</v>
          </cell>
        </row>
        <row r="18">
          <cell r="D18">
            <v>100</v>
          </cell>
          <cell r="E18">
            <v>104</v>
          </cell>
          <cell r="F18">
            <v>108.16</v>
          </cell>
          <cell r="G18">
            <v>112.4864</v>
          </cell>
          <cell r="H18">
            <v>116.98585600000001</v>
          </cell>
        </row>
        <row r="19">
          <cell r="D19">
            <v>100</v>
          </cell>
          <cell r="E19">
            <v>104</v>
          </cell>
          <cell r="F19">
            <v>108.16</v>
          </cell>
          <cell r="G19">
            <v>112.4864</v>
          </cell>
          <cell r="H19">
            <v>116.98585600000001</v>
          </cell>
        </row>
        <row r="20">
          <cell r="D20">
            <v>100</v>
          </cell>
          <cell r="E20">
            <v>100</v>
          </cell>
          <cell r="F20">
            <v>100</v>
          </cell>
          <cell r="G20">
            <v>100</v>
          </cell>
          <cell r="H20">
            <v>100</v>
          </cell>
        </row>
        <row r="21">
          <cell r="D21">
            <v>100</v>
          </cell>
          <cell r="E21">
            <v>100</v>
          </cell>
          <cell r="F21">
            <v>100</v>
          </cell>
          <cell r="G21">
            <v>100</v>
          </cell>
          <cell r="H21">
            <v>100</v>
          </cell>
        </row>
        <row r="22">
          <cell r="D22">
            <v>100</v>
          </cell>
          <cell r="E22">
            <v>100</v>
          </cell>
          <cell r="F22">
            <v>100</v>
          </cell>
          <cell r="G22">
            <v>100</v>
          </cell>
          <cell r="H22">
            <v>100</v>
          </cell>
        </row>
        <row r="23">
          <cell r="D23">
            <v>100</v>
          </cell>
          <cell r="E23">
            <v>100</v>
          </cell>
          <cell r="F23">
            <v>100</v>
          </cell>
          <cell r="G23">
            <v>100</v>
          </cell>
          <cell r="H23">
            <v>100</v>
          </cell>
        </row>
        <row r="24">
          <cell r="D24">
            <v>100</v>
          </cell>
          <cell r="E24">
            <v>100</v>
          </cell>
          <cell r="F24">
            <v>100</v>
          </cell>
          <cell r="G24">
            <v>100</v>
          </cell>
          <cell r="H24">
            <v>100</v>
          </cell>
        </row>
      </sheetData>
      <sheetData sheetId="6">
        <row r="4">
          <cell r="B4" t="str">
            <v>Software License Costs</v>
          </cell>
          <cell r="C4">
            <v>500000</v>
          </cell>
          <cell r="D4">
            <v>0</v>
          </cell>
          <cell r="E4">
            <v>0</v>
          </cell>
          <cell r="F4">
            <v>0</v>
          </cell>
          <cell r="G4">
            <v>0</v>
          </cell>
          <cell r="H4">
            <v>0</v>
          </cell>
          <cell r="I4">
            <v>500000</v>
          </cell>
          <cell r="M4">
            <v>1</v>
          </cell>
        </row>
        <row r="5">
          <cell r="B5" t="str">
            <v>Hardware Costs</v>
          </cell>
          <cell r="C5">
            <v>75000</v>
          </cell>
          <cell r="D5">
            <v>0</v>
          </cell>
          <cell r="E5">
            <v>0</v>
          </cell>
          <cell r="F5">
            <v>0</v>
          </cell>
          <cell r="G5">
            <v>0</v>
          </cell>
          <cell r="H5">
            <v>0</v>
          </cell>
          <cell r="I5">
            <v>75000</v>
          </cell>
          <cell r="M5">
            <v>1</v>
          </cell>
        </row>
        <row r="6">
          <cell r="B6" t="str">
            <v>Consulting and Implementation Costs</v>
          </cell>
          <cell r="C6">
            <v>0</v>
          </cell>
          <cell r="D6">
            <v>750000</v>
          </cell>
          <cell r="E6">
            <v>125000</v>
          </cell>
          <cell r="F6">
            <v>0</v>
          </cell>
          <cell r="G6">
            <v>0</v>
          </cell>
          <cell r="H6">
            <v>0</v>
          </cell>
          <cell r="I6">
            <v>875000</v>
          </cell>
          <cell r="M6">
            <v>1</v>
          </cell>
        </row>
        <row r="7">
          <cell r="B7" t="str">
            <v>System &amp; End-User Training Costs</v>
          </cell>
          <cell r="C7">
            <v>0</v>
          </cell>
          <cell r="D7">
            <v>50000</v>
          </cell>
          <cell r="E7">
            <v>0</v>
          </cell>
          <cell r="F7">
            <v>0</v>
          </cell>
          <cell r="G7">
            <v>0</v>
          </cell>
          <cell r="H7">
            <v>0</v>
          </cell>
          <cell r="I7">
            <v>50000</v>
          </cell>
          <cell r="M7">
            <v>1</v>
          </cell>
        </row>
        <row r="8">
          <cell r="B8" t="str">
            <v>Incremental HRIS Staff Costs</v>
          </cell>
          <cell r="C8">
            <v>0</v>
          </cell>
          <cell r="D8">
            <v>0</v>
          </cell>
          <cell r="E8">
            <v>0</v>
          </cell>
          <cell r="F8">
            <v>0</v>
          </cell>
          <cell r="G8">
            <v>0</v>
          </cell>
          <cell r="H8">
            <v>0</v>
          </cell>
          <cell r="I8">
            <v>0</v>
          </cell>
          <cell r="M8">
            <v>0</v>
          </cell>
        </row>
        <row r="9">
          <cell r="B9" t="str">
            <v>Incremental IT Resource Costs</v>
          </cell>
          <cell r="C9">
            <v>0</v>
          </cell>
          <cell r="D9">
            <v>0</v>
          </cell>
          <cell r="E9">
            <v>0</v>
          </cell>
          <cell r="F9">
            <v>0</v>
          </cell>
          <cell r="G9">
            <v>0</v>
          </cell>
          <cell r="H9">
            <v>0</v>
          </cell>
          <cell r="I9">
            <v>0</v>
          </cell>
          <cell r="M9">
            <v>0</v>
          </cell>
        </row>
        <row r="10">
          <cell r="B10" t="str">
            <v>Additional cost item A</v>
          </cell>
          <cell r="C10">
            <v>0</v>
          </cell>
          <cell r="D10">
            <v>0</v>
          </cell>
          <cell r="E10">
            <v>0</v>
          </cell>
          <cell r="F10">
            <v>0</v>
          </cell>
          <cell r="G10">
            <v>0</v>
          </cell>
          <cell r="H10">
            <v>0</v>
          </cell>
          <cell r="I10">
            <v>0</v>
          </cell>
          <cell r="M10">
            <v>0</v>
          </cell>
        </row>
        <row r="11">
          <cell r="B11" t="str">
            <v>Additional cost item B</v>
          </cell>
          <cell r="C11">
            <v>0</v>
          </cell>
          <cell r="D11">
            <v>0</v>
          </cell>
          <cell r="E11">
            <v>0</v>
          </cell>
          <cell r="F11">
            <v>0</v>
          </cell>
          <cell r="G11">
            <v>0</v>
          </cell>
          <cell r="H11">
            <v>0</v>
          </cell>
          <cell r="I11">
            <v>0</v>
          </cell>
          <cell r="M11">
            <v>0</v>
          </cell>
        </row>
        <row r="12">
          <cell r="B12" t="str">
            <v>Additional cost item C</v>
          </cell>
          <cell r="C12">
            <v>0</v>
          </cell>
          <cell r="D12">
            <v>0</v>
          </cell>
          <cell r="E12">
            <v>0</v>
          </cell>
          <cell r="F12">
            <v>0</v>
          </cell>
          <cell r="G12">
            <v>0</v>
          </cell>
          <cell r="H12">
            <v>0</v>
          </cell>
          <cell r="I12">
            <v>0</v>
          </cell>
          <cell r="M12">
            <v>0</v>
          </cell>
        </row>
        <row r="13">
          <cell r="B13" t="str">
            <v>Additional cost item D</v>
          </cell>
          <cell r="C13">
            <v>0</v>
          </cell>
          <cell r="D13">
            <v>0</v>
          </cell>
          <cell r="E13">
            <v>0</v>
          </cell>
          <cell r="F13">
            <v>0</v>
          </cell>
          <cell r="G13">
            <v>0</v>
          </cell>
          <cell r="H13">
            <v>0</v>
          </cell>
          <cell r="I13">
            <v>0</v>
          </cell>
          <cell r="M13">
            <v>0</v>
          </cell>
        </row>
        <row r="14">
          <cell r="B14" t="str">
            <v>Annual Software Maintenance Costs</v>
          </cell>
          <cell r="C14">
            <v>110000</v>
          </cell>
          <cell r="D14">
            <v>110000</v>
          </cell>
          <cell r="E14">
            <v>110000</v>
          </cell>
          <cell r="F14">
            <v>110000</v>
          </cell>
          <cell r="G14">
            <v>110000</v>
          </cell>
          <cell r="H14">
            <v>0</v>
          </cell>
          <cell r="I14">
            <v>550000</v>
          </cell>
          <cell r="M14">
            <v>1</v>
          </cell>
        </row>
        <row r="15">
          <cell r="B15" t="str">
            <v>Annual Hardware Maintenance Costs</v>
          </cell>
          <cell r="C15">
            <v>15000</v>
          </cell>
          <cell r="D15">
            <v>15000</v>
          </cell>
          <cell r="E15">
            <v>15000</v>
          </cell>
          <cell r="F15">
            <v>15000</v>
          </cell>
          <cell r="G15">
            <v>15000</v>
          </cell>
          <cell r="H15">
            <v>0</v>
          </cell>
          <cell r="I15">
            <v>75000</v>
          </cell>
          <cell r="M15">
            <v>1</v>
          </cell>
        </row>
      </sheetData>
      <sheetData sheetId="7">
        <row r="5">
          <cell r="J5">
            <v>0</v>
          </cell>
          <cell r="L5">
            <v>0</v>
          </cell>
          <cell r="N5">
            <v>0</v>
          </cell>
        </row>
        <row r="6">
          <cell r="J6">
            <v>0</v>
          </cell>
          <cell r="L6">
            <v>0</v>
          </cell>
          <cell r="N6">
            <v>0</v>
          </cell>
        </row>
        <row r="7">
          <cell r="J7">
            <v>0</v>
          </cell>
          <cell r="L7">
            <v>0</v>
          </cell>
          <cell r="N7">
            <v>0</v>
          </cell>
        </row>
        <row r="8">
          <cell r="J8">
            <v>0</v>
          </cell>
          <cell r="L8">
            <v>0</v>
          </cell>
          <cell r="N8">
            <v>0</v>
          </cell>
        </row>
        <row r="9">
          <cell r="J9">
            <v>0</v>
          </cell>
          <cell r="L9">
            <v>0</v>
          </cell>
          <cell r="N9">
            <v>0</v>
          </cell>
        </row>
        <row r="10">
          <cell r="J10">
            <v>0</v>
          </cell>
          <cell r="L10">
            <v>0</v>
          </cell>
          <cell r="N10">
            <v>0</v>
          </cell>
        </row>
        <row r="11">
          <cell r="J11">
            <v>0</v>
          </cell>
          <cell r="L11">
            <v>0</v>
          </cell>
          <cell r="N11">
            <v>0</v>
          </cell>
        </row>
        <row r="12">
          <cell r="J12">
            <v>295519.32</v>
          </cell>
          <cell r="L12">
            <v>1</v>
          </cell>
          <cell r="N12">
            <v>1391.4002812718593</v>
          </cell>
        </row>
        <row r="13">
          <cell r="J13">
            <v>360443.5</v>
          </cell>
          <cell r="L13">
            <v>1</v>
          </cell>
          <cell r="N13">
            <v>1772.0565106553599</v>
          </cell>
        </row>
        <row r="14">
          <cell r="J14">
            <v>0</v>
          </cell>
          <cell r="L14">
            <v>0</v>
          </cell>
          <cell r="N14">
            <v>0</v>
          </cell>
        </row>
        <row r="15">
          <cell r="J15">
            <v>1211090.1599999999</v>
          </cell>
          <cell r="L15">
            <v>1</v>
          </cell>
          <cell r="N15">
            <v>5954.109875802008</v>
          </cell>
        </row>
        <row r="16">
          <cell r="J16">
            <v>326583</v>
          </cell>
          <cell r="L16">
            <v>1</v>
          </cell>
          <cell r="N16">
            <v>1537.65810661248</v>
          </cell>
        </row>
        <row r="17">
          <cell r="J17">
            <v>0</v>
          </cell>
          <cell r="L17">
            <v>0</v>
          </cell>
          <cell r="N17">
            <v>0</v>
          </cell>
        </row>
        <row r="18">
          <cell r="J18">
            <v>0</v>
          </cell>
          <cell r="L18">
            <v>0</v>
          </cell>
          <cell r="N18">
            <v>0</v>
          </cell>
        </row>
        <row r="19">
          <cell r="J19">
            <v>673578.79062500002</v>
          </cell>
          <cell r="L19">
            <v>1</v>
          </cell>
          <cell r="N19">
            <v>3101.3740216122046</v>
          </cell>
        </row>
        <row r="20">
          <cell r="J20">
            <v>0</v>
          </cell>
          <cell r="L20">
            <v>0</v>
          </cell>
          <cell r="N20">
            <v>0</v>
          </cell>
        </row>
        <row r="21">
          <cell r="J21">
            <v>0</v>
          </cell>
          <cell r="L21">
            <v>0</v>
          </cell>
          <cell r="N21">
            <v>0</v>
          </cell>
        </row>
        <row r="22">
          <cell r="J22">
            <v>0</v>
          </cell>
          <cell r="L22">
            <v>0</v>
          </cell>
          <cell r="N22">
            <v>0</v>
          </cell>
        </row>
        <row r="23">
          <cell r="J23">
            <v>0</v>
          </cell>
          <cell r="L23">
            <v>0</v>
          </cell>
          <cell r="N23">
            <v>0</v>
          </cell>
        </row>
        <row r="24">
          <cell r="J24">
            <v>0</v>
          </cell>
          <cell r="L24">
            <v>0</v>
          </cell>
          <cell r="N24">
            <v>0</v>
          </cell>
        </row>
        <row r="28">
          <cell r="L28">
            <v>1</v>
          </cell>
        </row>
        <row r="29">
          <cell r="L29">
            <v>1</v>
          </cell>
        </row>
        <row r="30">
          <cell r="L30">
            <v>1</v>
          </cell>
        </row>
        <row r="31">
          <cell r="L31">
            <v>1</v>
          </cell>
        </row>
        <row r="32">
          <cell r="L32">
            <v>0</v>
          </cell>
        </row>
        <row r="33">
          <cell r="L33">
            <v>0</v>
          </cell>
        </row>
        <row r="34">
          <cell r="L34">
            <v>0</v>
          </cell>
        </row>
        <row r="35">
          <cell r="L35">
            <v>0</v>
          </cell>
        </row>
        <row r="36">
          <cell r="L36">
            <v>0</v>
          </cell>
        </row>
        <row r="37">
          <cell r="L37">
            <v>0</v>
          </cell>
        </row>
        <row r="38">
          <cell r="L38">
            <v>1</v>
          </cell>
        </row>
        <row r="39">
          <cell r="L39">
            <v>1</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sco-Switch&amp;Router Cost"/>
      <sheetName val="Cloud Cost"/>
      <sheetName val="Conn Sizing &amp; oth Capex-Opex "/>
      <sheetName val="Market Share Forecast"/>
      <sheetName val="VSaaS"/>
      <sheetName val="BC"/>
      <sheetName val="Sheet2"/>
      <sheetName val="Cost allocationgrioss Adds"/>
      <sheetName val="Sheet1"/>
      <sheetName val="Thinkcell"/>
      <sheetName val="N"/>
    </sheetNames>
    <sheetDataSet>
      <sheetData sheetId="0" refreshError="1"/>
      <sheetData sheetId="1" refreshError="1"/>
      <sheetData sheetId="2" refreshError="1"/>
      <sheetData sheetId="3" refreshError="1"/>
      <sheetData sheetId="4" refreshError="1"/>
      <sheetData sheetId="5" refreshError="1">
        <row r="27">
          <cell r="E27" t="str">
            <v>Category 1</v>
          </cell>
        </row>
        <row r="28">
          <cell r="E28" t="str">
            <v>Category 2</v>
          </cell>
        </row>
        <row r="29">
          <cell r="E29" t="str">
            <v>Category 3</v>
          </cell>
        </row>
        <row r="30">
          <cell r="E30" t="str">
            <v>Category 4</v>
          </cell>
        </row>
        <row r="31">
          <cell r="E31" t="str">
            <v>Category 5</v>
          </cell>
        </row>
        <row r="32">
          <cell r="E32" t="str">
            <v>Category 6</v>
          </cell>
        </row>
        <row r="33">
          <cell r="E33" t="str">
            <v>Category 7</v>
          </cell>
        </row>
        <row r="34">
          <cell r="E34" t="str">
            <v>Category 8</v>
          </cell>
        </row>
      </sheetData>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e LIst"/>
      <sheetName val="Sheet2"/>
    </sheetNames>
    <sheetDataSet>
      <sheetData sheetId="0">
        <row r="8">
          <cell r="D8">
            <v>40</v>
          </cell>
        </row>
        <row r="10">
          <cell r="D10">
            <v>10</v>
          </cell>
        </row>
      </sheetData>
      <sheetData sheetId="1">
        <row r="3">
          <cell r="B3" t="str">
            <v>A</v>
          </cell>
          <cell r="C3">
            <v>5.5E-2</v>
          </cell>
          <cell r="E3" t="str">
            <v>AED</v>
          </cell>
          <cell r="F3">
            <v>3.67</v>
          </cell>
        </row>
        <row r="4">
          <cell r="B4" t="str">
            <v>B</v>
          </cell>
          <cell r="C4">
            <v>0.1</v>
          </cell>
          <cell r="E4" t="str">
            <v>BHD</v>
          </cell>
          <cell r="F4">
            <v>0.38</v>
          </cell>
        </row>
        <row r="5">
          <cell r="B5" t="str">
            <v>C</v>
          </cell>
          <cell r="C5">
            <v>7.4999999999999997E-2</v>
          </cell>
          <cell r="E5" t="str">
            <v>EGP</v>
          </cell>
          <cell r="F5">
            <v>4.5999999999999996</v>
          </cell>
        </row>
        <row r="6">
          <cell r="B6" t="str">
            <v>D</v>
          </cell>
          <cell r="C6">
            <v>0.02</v>
          </cell>
          <cell r="E6" t="str">
            <v>OMR</v>
          </cell>
          <cell r="F6">
            <v>0.38400000000000001</v>
          </cell>
        </row>
        <row r="7">
          <cell r="B7" t="str">
            <v>S</v>
          </cell>
          <cell r="C7">
            <v>2.5000000000000001E-2</v>
          </cell>
          <cell r="E7" t="str">
            <v>QAR</v>
          </cell>
          <cell r="F7">
            <v>3.64</v>
          </cell>
        </row>
        <row r="8">
          <cell r="B8" t="str">
            <v>N/A</v>
          </cell>
          <cell r="C8">
            <v>0</v>
          </cell>
          <cell r="E8" t="str">
            <v>SAR</v>
          </cell>
          <cell r="F8">
            <v>3.75</v>
          </cell>
        </row>
        <row r="9">
          <cell r="E9" t="str">
            <v>USD</v>
          </cell>
          <cell r="F9">
            <v>1</v>
          </cell>
        </row>
        <row r="11">
          <cell r="F11">
            <v>7</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pture On -prem"/>
      <sheetName val="Sizing - System1"/>
      <sheetName val="Genral Questions"/>
      <sheetName val="IS On-Prem Sizing"/>
      <sheetName val="On-Prem Sizing"/>
      <sheetName val="M-Values"/>
      <sheetName val="Oracle PaaS and IaaS Price List"/>
      <sheetName val="Oracle PaaS and IaaS Supplement"/>
      <sheetName val="Cloud Sizing"/>
      <sheetName val="TCO Calculation"/>
      <sheetName val="SBL Ref Arch"/>
      <sheetName val="SBL Ref Arch Updated"/>
      <sheetName val="BOQ"/>
      <sheetName val="SBL References"/>
      <sheetName val="Lookup"/>
      <sheetName val="On-Prem Calc"/>
      <sheetName val="Cloud Calc"/>
      <sheetName val="Oracle DB SW prices"/>
      <sheetName val="Init-BoM"/>
      <sheetName val="Universal Credits Model Changes"/>
      <sheetName val="Cloud at Customer Changes"/>
      <sheetName val="Government Chang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1">
          <cell r="C1" t="str">
            <v>Bastion</v>
          </cell>
          <cell r="H1" t="str">
            <v>Oracle</v>
          </cell>
          <cell r="J1" t="str">
            <v>Production</v>
          </cell>
          <cell r="L1" t="str">
            <v>Siebel IP 15</v>
          </cell>
          <cell r="N1" t="str">
            <v>Oracle DB 11.1.2.0.4</v>
          </cell>
        </row>
        <row r="2">
          <cell r="C2" t="str">
            <v>Load balancer</v>
          </cell>
          <cell r="H2" t="str">
            <v>Microsoft</v>
          </cell>
          <cell r="J2" t="str">
            <v>DR</v>
          </cell>
          <cell r="L2" t="str">
            <v>Siebel IP 16</v>
          </cell>
          <cell r="N2" t="str">
            <v>Oracle DB 12c</v>
          </cell>
          <cell r="S2" t="str">
            <v>ACTION S.A.</v>
          </cell>
          <cell r="U2" t="str">
            <v>Bastion</v>
          </cell>
        </row>
        <row r="3">
          <cell r="C3" t="str">
            <v>Application Interface</v>
          </cell>
          <cell r="H3" t="str">
            <v>Others</v>
          </cell>
          <cell r="J3" t="str">
            <v>Non-Production</v>
          </cell>
          <cell r="L3" t="str">
            <v>Siebel IP 17</v>
          </cell>
          <cell r="N3" t="str">
            <v>Oracle DB 18c</v>
          </cell>
          <cell r="S3" t="str">
            <v>ASUS Computer International</v>
          </cell>
          <cell r="U3" t="str">
            <v>Web-Tier</v>
          </cell>
        </row>
        <row r="4">
          <cell r="C4" t="str">
            <v>Siebel Server</v>
          </cell>
          <cell r="L4" t="str">
            <v>Siebel update 18.x</v>
          </cell>
          <cell r="N4" t="str">
            <v>Oracle DB 19c</v>
          </cell>
          <cell r="S4" t="str">
            <v>ASUSTeK Computer Inc.</v>
          </cell>
          <cell r="U4" t="str">
            <v>Application Tier</v>
          </cell>
        </row>
        <row r="5">
          <cell r="C5" t="str">
            <v>Cloud Gateway</v>
          </cell>
          <cell r="L5" t="str">
            <v>Siebel update 19.x</v>
          </cell>
          <cell r="N5" t="str">
            <v>Oracle DB 20c</v>
          </cell>
          <cell r="S5" t="str">
            <v>Acer Incorporated</v>
          </cell>
          <cell r="U5" t="str">
            <v>DB Tier</v>
          </cell>
        </row>
        <row r="6">
          <cell r="C6" t="str">
            <v>Oracle Database</v>
          </cell>
          <cell r="L6" t="str">
            <v>Siebel update 20.x</v>
          </cell>
          <cell r="N6" t="str">
            <v>MSSql Server</v>
          </cell>
          <cell r="S6" t="str">
            <v>Apple Computer, Inc.</v>
          </cell>
          <cell r="U6" t="str">
            <v>Storage</v>
          </cell>
        </row>
        <row r="7">
          <cell r="C7" t="str">
            <v>MS Sql Server</v>
          </cell>
          <cell r="S7" t="str">
            <v>Apple, Inc.</v>
          </cell>
          <cell r="U7" t="str">
            <v>Other</v>
          </cell>
        </row>
        <row r="8">
          <cell r="S8" t="str">
            <v>BOXX Technologies, Inc.</v>
          </cell>
        </row>
        <row r="9">
          <cell r="S9" t="str">
            <v>Bull SAS</v>
          </cell>
        </row>
        <row r="10">
          <cell r="S10" t="str">
            <v>Cisco Systems</v>
          </cell>
        </row>
        <row r="11">
          <cell r="S11" t="str">
            <v>ClearCube Technology</v>
          </cell>
        </row>
        <row r="12">
          <cell r="S12" t="str">
            <v>Clevo</v>
          </cell>
        </row>
        <row r="13">
          <cell r="S13" t="str">
            <v>Cryo Performance Computing Ltd</v>
          </cell>
        </row>
        <row r="14">
          <cell r="S14" t="str">
            <v>Dell Inc.</v>
          </cell>
        </row>
        <row r="15">
          <cell r="S15" t="str">
            <v>E4 Computer Engineering S.p.A.</v>
          </cell>
        </row>
        <row r="16">
          <cell r="S16" t="str">
            <v>FORMAT</v>
          </cell>
        </row>
        <row r="17">
          <cell r="S17" t="str">
            <v>Fujitsu</v>
          </cell>
        </row>
        <row r="18">
          <cell r="S18" t="str">
            <v>Fujitsu Limited</v>
          </cell>
        </row>
        <row r="19">
          <cell r="S19" t="str">
            <v>Fujitsu Siemens Computers</v>
          </cell>
        </row>
        <row r="20">
          <cell r="S20" t="str">
            <v>GIGA-BYTE Technology Co. Ltd.</v>
          </cell>
        </row>
        <row r="21">
          <cell r="S21" t="str">
            <v>Gigabyte Technology Co., Ltd.</v>
          </cell>
        </row>
        <row r="22">
          <cell r="S22" t="str">
            <v>H3C</v>
          </cell>
        </row>
        <row r="23">
          <cell r="S23" t="str">
            <v>HITACHI</v>
          </cell>
        </row>
        <row r="24">
          <cell r="S24" t="str">
            <v>HPE</v>
          </cell>
        </row>
        <row r="25">
          <cell r="S25" t="str">
            <v>Hewlett Packard Enterprise</v>
          </cell>
        </row>
        <row r="26">
          <cell r="S26" t="str">
            <v>Hewlett-Packard Company</v>
          </cell>
        </row>
        <row r="27">
          <cell r="S27" t="str">
            <v>Huawei</v>
          </cell>
        </row>
        <row r="28">
          <cell r="S28" t="str">
            <v>IBM</v>
          </cell>
        </row>
        <row r="29">
          <cell r="S29" t="str">
            <v>IBM Corporation</v>
          </cell>
        </row>
        <row r="30">
          <cell r="S30" t="str">
            <v>Incom S.A.</v>
          </cell>
        </row>
        <row r="31">
          <cell r="S31" t="str">
            <v>Inspur Corporation</v>
          </cell>
        </row>
        <row r="32">
          <cell r="S32" t="str">
            <v>Intel Corporation</v>
          </cell>
        </row>
        <row r="33">
          <cell r="S33" t="str">
            <v>Itautec</v>
          </cell>
        </row>
        <row r="34">
          <cell r="S34" t="str">
            <v>J.P Sa Couto S.A.</v>
          </cell>
        </row>
        <row r="35">
          <cell r="S35" t="str">
            <v>Lenovo Group Limited</v>
          </cell>
        </row>
        <row r="36">
          <cell r="S36" t="str">
            <v>MSI</v>
          </cell>
        </row>
        <row r="37">
          <cell r="S37" t="str">
            <v>Maxdata AG</v>
          </cell>
        </row>
        <row r="38">
          <cell r="S38" t="str">
            <v>Microsoft Corporation</v>
          </cell>
        </row>
        <row r="39">
          <cell r="S39" t="str">
            <v>NEC Corporation</v>
          </cell>
        </row>
        <row r="40">
          <cell r="S40" t="str">
            <v>NTT System S. A.</v>
          </cell>
        </row>
        <row r="41">
          <cell r="S41" t="str">
            <v>Oracle</v>
          </cell>
        </row>
        <row r="42">
          <cell r="S42" t="str">
            <v>Oracle Corporation</v>
          </cell>
        </row>
        <row r="43">
          <cell r="S43" t="str">
            <v>PC Factory S.A.</v>
          </cell>
        </row>
        <row r="44">
          <cell r="S44" t="str">
            <v>Quanta Computer Inc.</v>
          </cell>
        </row>
        <row r="45">
          <cell r="S45" t="str">
            <v>SGI</v>
          </cell>
        </row>
        <row r="46">
          <cell r="S46" t="str">
            <v>ScaleMP</v>
          </cell>
        </row>
        <row r="47">
          <cell r="S47" t="str">
            <v>Shuttle</v>
          </cell>
        </row>
        <row r="48">
          <cell r="S48" t="str">
            <v>Sugon</v>
          </cell>
        </row>
        <row r="49">
          <cell r="S49" t="str">
            <v>Sun Microsystems</v>
          </cell>
        </row>
        <row r="50">
          <cell r="S50" t="str">
            <v>Super-micro</v>
          </cell>
        </row>
        <row r="51">
          <cell r="S51" t="str">
            <v>Supermicro</v>
          </cell>
        </row>
        <row r="52">
          <cell r="S52" t="str">
            <v>Tyan</v>
          </cell>
        </row>
        <row r="53">
          <cell r="S53" t="str">
            <v>Unisys Corporation</v>
          </cell>
        </row>
        <row r="54">
          <cell r="S54" t="str">
            <v>Wipro Limited</v>
          </cell>
        </row>
        <row r="55">
          <cell r="S55" t="str">
            <v>YOYOtech</v>
          </cell>
        </row>
        <row r="56">
          <cell r="S56" t="str">
            <v>Other</v>
          </cell>
        </row>
        <row r="57">
          <cell r="S57" t="str">
            <v>ZTE</v>
          </cell>
        </row>
      </sheetData>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LANK"/>
      <sheetName val="Index"/>
      <sheetName val="Data"/>
      <sheetName val="Key Benchmarks"/>
      <sheetName val="Benefits summary"/>
      <sheetName val="Phasing table"/>
      <sheetName val="Growth table"/>
      <sheetName val="Investment inputs"/>
      <sheetName val="ROI summary"/>
      <sheetName val="ROI charts"/>
      <sheetName val="ROI scenarios"/>
      <sheetName val="HCM=&gt;"/>
      <sheetName val="Reduced Turnover"/>
      <sheetName val="Reduced Time to Fill"/>
      <sheetName val="Reduced Outside Recruiting"/>
      <sheetName val="Reduced Payroll Printing"/>
      <sheetName val="Reduced Payroll Outsourcing"/>
      <sheetName val="Reduced Open Enrollment Cost"/>
      <sheetName val="Reduced Overtime"/>
      <sheetName val="HR Staff Offset"/>
      <sheetName val="SCM =&gt;"/>
      <sheetName val="Improved Strategic Sourcing"/>
      <sheetName val="Reduced Maverick Spend"/>
      <sheetName val="Increased Inv Turns"/>
      <sheetName val="Increased Early Payments"/>
      <sheetName val="Reduced AP Checks"/>
      <sheetName val="Purchasing Staff Offset"/>
      <sheetName val="AP Staff Offset"/>
      <sheetName val="FMS =&gt;"/>
      <sheetName val="Fin Staff Offset"/>
      <sheetName val="T&amp;E Policy Enforcement"/>
      <sheetName val="T&amp;E Preferred Vendor Spend"/>
      <sheetName val="T&amp;E Credit Card Rebates"/>
      <sheetName val="T&amp;E Staff Offset"/>
      <sheetName val="T&amp;E Processing Costs"/>
      <sheetName val="Ext Audit"/>
      <sheetName val="Improved Cash Mgmt"/>
      <sheetName val="IT =&gt;"/>
      <sheetName val="Eliminate Legacy Systems"/>
      <sheetName val="IT Staff"/>
      <sheetName val="Decision Support Staff"/>
      <sheetName val="BLANK =&gt;"/>
      <sheetName val="Ben A"/>
      <sheetName val="Ben B"/>
      <sheetName val="Ben C"/>
      <sheetName val="Ben D"/>
      <sheetName val="Ben E"/>
      <sheetName val="Line Items"/>
    </sheetNames>
    <sheetDataSet>
      <sheetData sheetId="0" refreshError="1"/>
      <sheetData sheetId="1" refreshError="1"/>
      <sheetData sheetId="2">
        <row r="6">
          <cell r="C6" t="str">
            <v>Company ABC</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ule1"/>
      <sheetName val="PTRCalc"/>
      <sheetName val="UNISYS"/>
      <sheetName val="Module2"/>
      <sheetName val="Services"/>
      <sheetName val="PS Services"/>
      <sheetName val="Proposal"/>
      <sheetName val="Annual P&amp;L"/>
      <sheetName val="Cash Flow"/>
      <sheetName val="Terms"/>
      <sheetName val="Assessment"/>
      <sheetName val="PTR"/>
      <sheetName val="Summary"/>
      <sheetName val="Risk Sheet1"/>
      <sheetName val="Risk Sheet2"/>
      <sheetName val="Risk Sheet3"/>
      <sheetName val="Risk Sheet4"/>
      <sheetName val="Risk Sheet5"/>
      <sheetName val="Risk Register"/>
      <sheetName val="RiskRegisterHelp"/>
      <sheetName val="ProjectRiskHelp"/>
      <sheetName val="SummaryHelp"/>
      <sheetName val="ProposalHelp"/>
      <sheetName val="ServicesHelp"/>
      <sheetName val="PSServicesHelp"/>
      <sheetName val="PTRHelp"/>
      <sheetName val="CashFlowHelp"/>
      <sheetName val="PLHelp"/>
      <sheetName val="TermHelp"/>
      <sheetName val="AssmntHelp"/>
      <sheetName val="USHelp"/>
      <sheetName val="SetectDialog"/>
      <sheetName val="Table"/>
      <sheetName val="Quote"/>
      <sheetName val="Quote Descrip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ow r="10">
          <cell r="E10">
            <v>3</v>
          </cell>
        </row>
        <row r="29">
          <cell r="A29">
            <v>1</v>
          </cell>
          <cell r="B29" t="str">
            <v>Canada</v>
          </cell>
          <cell r="C29">
            <v>269.73</v>
          </cell>
          <cell r="D29" t="str">
            <v>N/A</v>
          </cell>
          <cell r="E29" t="str">
            <v>N/A</v>
          </cell>
          <cell r="F29">
            <v>269.73</v>
          </cell>
          <cell r="H29">
            <v>247.53000000000003</v>
          </cell>
          <cell r="I29">
            <v>247.53000000000003</v>
          </cell>
          <cell r="J29" t="str">
            <v>N/A</v>
          </cell>
          <cell r="K29">
            <v>213.12</v>
          </cell>
          <cell r="L29">
            <v>213.12</v>
          </cell>
          <cell r="M29">
            <v>170</v>
          </cell>
          <cell r="N29">
            <v>184.26000000000002</v>
          </cell>
          <cell r="O29">
            <v>169.83</v>
          </cell>
          <cell r="P29">
            <v>184</v>
          </cell>
          <cell r="R29">
            <v>169.83</v>
          </cell>
          <cell r="S29">
            <v>169.83</v>
          </cell>
          <cell r="T29">
            <v>127.65</v>
          </cell>
          <cell r="U29">
            <v>95.460000000000008</v>
          </cell>
          <cell r="V29">
            <v>95.460000000000008</v>
          </cell>
          <cell r="W29" t="str">
            <v>N/A</v>
          </cell>
          <cell r="X29" t="str">
            <v>N/A</v>
          </cell>
          <cell r="Z29" t="str">
            <v>N/A</v>
          </cell>
          <cell r="AA29" t="str">
            <v>N/A</v>
          </cell>
          <cell r="AB29" t="str">
            <v>N/A</v>
          </cell>
          <cell r="AC29" t="str">
            <v>N/A</v>
          </cell>
          <cell r="AD29" t="str">
            <v>N/A</v>
          </cell>
          <cell r="AE29" t="str">
            <v>N/A</v>
          </cell>
          <cell r="AF29" t="str">
            <v>N/A</v>
          </cell>
          <cell r="AH29">
            <v>267</v>
          </cell>
          <cell r="AI29" t="str">
            <v>N/A</v>
          </cell>
          <cell r="AJ29" t="str">
            <v>N/A</v>
          </cell>
          <cell r="AK29">
            <v>167</v>
          </cell>
          <cell r="AM29">
            <v>133</v>
          </cell>
          <cell r="AN29">
            <v>126</v>
          </cell>
          <cell r="AO29" t="str">
            <v>N/A</v>
          </cell>
          <cell r="AP29">
            <v>108</v>
          </cell>
          <cell r="AQ29">
            <v>99</v>
          </cell>
          <cell r="AR29">
            <v>75</v>
          </cell>
          <cell r="AS29">
            <v>84</v>
          </cell>
          <cell r="AT29">
            <v>75</v>
          </cell>
          <cell r="AU29">
            <v>80</v>
          </cell>
          <cell r="AW29">
            <v>67</v>
          </cell>
          <cell r="AX29">
            <v>60</v>
          </cell>
          <cell r="AY29">
            <v>52</v>
          </cell>
          <cell r="AZ29">
            <v>45</v>
          </cell>
          <cell r="BA29">
            <v>38</v>
          </cell>
          <cell r="BB29" t="str">
            <v>N/A</v>
          </cell>
          <cell r="BC29" t="str">
            <v>N/A</v>
          </cell>
          <cell r="BE29" t="str">
            <v>N/A</v>
          </cell>
          <cell r="BF29" t="str">
            <v>N/A</v>
          </cell>
          <cell r="BG29" t="str">
            <v>N/A</v>
          </cell>
          <cell r="BH29" t="str">
            <v>N/A</v>
          </cell>
          <cell r="BI29" t="str">
            <v>N/A</v>
          </cell>
          <cell r="BJ29" t="str">
            <v>N/A</v>
          </cell>
          <cell r="BK29" t="str">
            <v>N/A</v>
          </cell>
          <cell r="BL29">
            <v>1</v>
          </cell>
          <cell r="BM29" t="str">
            <v>N/A</v>
          </cell>
          <cell r="BN29">
            <v>5000000</v>
          </cell>
        </row>
        <row r="30">
          <cell r="A30">
            <v>2</v>
          </cell>
          <cell r="B30" t="str">
            <v>US, Commercial</v>
          </cell>
          <cell r="C30">
            <v>479.52000000000004</v>
          </cell>
          <cell r="D30">
            <v>461.76000000000005</v>
          </cell>
          <cell r="E30">
            <v>444.00000000000006</v>
          </cell>
          <cell r="F30">
            <v>389.61</v>
          </cell>
          <cell r="G30" t="str">
            <v xml:space="preserve"> </v>
          </cell>
          <cell r="H30">
            <v>359.64000000000004</v>
          </cell>
          <cell r="I30">
            <v>335.22</v>
          </cell>
          <cell r="J30">
            <v>347.43</v>
          </cell>
          <cell r="K30">
            <v>311.91000000000003</v>
          </cell>
          <cell r="L30">
            <v>287.49</v>
          </cell>
          <cell r="M30">
            <v>299.70000000000005</v>
          </cell>
          <cell r="N30">
            <v>269.73</v>
          </cell>
          <cell r="O30">
            <v>245.31000000000003</v>
          </cell>
          <cell r="P30">
            <v>257.52000000000004</v>
          </cell>
          <cell r="R30">
            <v>215.34000000000003</v>
          </cell>
          <cell r="S30">
            <v>197.58</v>
          </cell>
          <cell r="T30">
            <v>174.27</v>
          </cell>
          <cell r="U30">
            <v>137.64000000000001</v>
          </cell>
          <cell r="V30">
            <v>102.12</v>
          </cell>
          <cell r="W30" t="str">
            <v>N/A</v>
          </cell>
          <cell r="X30" t="str">
            <v>N/A</v>
          </cell>
          <cell r="Z30">
            <v>270.84000000000003</v>
          </cell>
          <cell r="AA30">
            <v>257.52000000000004</v>
          </cell>
          <cell r="AB30">
            <v>210.9</v>
          </cell>
          <cell r="AC30">
            <v>184.26000000000002</v>
          </cell>
          <cell r="AD30">
            <v>132.09</v>
          </cell>
          <cell r="AE30" t="str">
            <v>N/A</v>
          </cell>
          <cell r="AF30" t="str">
            <v>N/A</v>
          </cell>
          <cell r="AH30" t="str">
            <v>N/A</v>
          </cell>
          <cell r="AI30">
            <v>310</v>
          </cell>
          <cell r="AJ30">
            <v>224</v>
          </cell>
          <cell r="AK30">
            <v>172</v>
          </cell>
          <cell r="AL30" t="str">
            <v xml:space="preserve"> </v>
          </cell>
          <cell r="AM30">
            <v>145</v>
          </cell>
          <cell r="AN30">
            <v>126</v>
          </cell>
          <cell r="AO30" t="str">
            <v>N/A</v>
          </cell>
          <cell r="AP30">
            <v>110</v>
          </cell>
          <cell r="AQ30">
            <v>102</v>
          </cell>
          <cell r="AR30" t="str">
            <v>N/A</v>
          </cell>
          <cell r="AS30">
            <v>83</v>
          </cell>
          <cell r="AT30">
            <v>78</v>
          </cell>
          <cell r="AU30" t="str">
            <v>N/A</v>
          </cell>
          <cell r="AW30">
            <v>71</v>
          </cell>
          <cell r="AX30">
            <v>63</v>
          </cell>
          <cell r="AY30">
            <v>52</v>
          </cell>
          <cell r="AZ30">
            <v>45</v>
          </cell>
          <cell r="BA30">
            <v>45</v>
          </cell>
          <cell r="BB30" t="str">
            <v>N/A</v>
          </cell>
          <cell r="BC30" t="str">
            <v>N/A</v>
          </cell>
          <cell r="BE30" t="str">
            <v>N/A</v>
          </cell>
          <cell r="BF30" t="str">
            <v>N/A</v>
          </cell>
          <cell r="BG30" t="str">
            <v>N/A</v>
          </cell>
          <cell r="BH30" t="str">
            <v>N/A</v>
          </cell>
          <cell r="BI30" t="str">
            <v>N/A</v>
          </cell>
          <cell r="BJ30" t="str">
            <v>N/A</v>
          </cell>
          <cell r="BK30" t="str">
            <v>N/A</v>
          </cell>
          <cell r="BL30">
            <v>1</v>
          </cell>
          <cell r="BM30" t="str">
            <v>N/A</v>
          </cell>
          <cell r="BN30">
            <v>5000000</v>
          </cell>
        </row>
        <row r="31">
          <cell r="A31">
            <v>3</v>
          </cell>
          <cell r="B31" t="str">
            <v>US, Financial</v>
          </cell>
          <cell r="C31">
            <v>479.52000000000004</v>
          </cell>
          <cell r="D31">
            <v>461.76000000000005</v>
          </cell>
          <cell r="E31">
            <v>444.00000000000006</v>
          </cell>
          <cell r="F31">
            <v>389.61</v>
          </cell>
          <cell r="G31" t="str">
            <v xml:space="preserve"> </v>
          </cell>
          <cell r="H31">
            <v>359.64000000000004</v>
          </cell>
          <cell r="I31">
            <v>335.22</v>
          </cell>
          <cell r="J31">
            <v>347.43</v>
          </cell>
          <cell r="K31">
            <v>311.91000000000003</v>
          </cell>
          <cell r="L31">
            <v>287.49</v>
          </cell>
          <cell r="M31">
            <v>299.70000000000005</v>
          </cell>
          <cell r="N31">
            <v>269.73</v>
          </cell>
          <cell r="O31">
            <v>245.31000000000003</v>
          </cell>
          <cell r="P31">
            <v>257.52000000000004</v>
          </cell>
          <cell r="R31">
            <v>215.34000000000003</v>
          </cell>
          <cell r="S31">
            <v>197.58</v>
          </cell>
          <cell r="T31">
            <v>174.27</v>
          </cell>
          <cell r="U31">
            <v>137.64000000000001</v>
          </cell>
          <cell r="V31">
            <v>102.12</v>
          </cell>
          <cell r="W31" t="str">
            <v>N/A</v>
          </cell>
          <cell r="X31" t="str">
            <v>N/A</v>
          </cell>
          <cell r="Z31">
            <v>270.84000000000003</v>
          </cell>
          <cell r="AA31">
            <v>257.52000000000004</v>
          </cell>
          <cell r="AB31">
            <v>210.9</v>
          </cell>
          <cell r="AC31">
            <v>184.26000000000002</v>
          </cell>
          <cell r="AD31">
            <v>132.09</v>
          </cell>
          <cell r="AE31" t="str">
            <v>N/A</v>
          </cell>
          <cell r="AF31" t="str">
            <v>N/A</v>
          </cell>
          <cell r="AH31" t="str">
            <v>N/A</v>
          </cell>
          <cell r="AI31" t="str">
            <v>N/A</v>
          </cell>
          <cell r="AJ31">
            <v>248</v>
          </cell>
          <cell r="AK31">
            <v>195</v>
          </cell>
          <cell r="AL31" t="str">
            <v xml:space="preserve"> </v>
          </cell>
          <cell r="AM31">
            <v>151</v>
          </cell>
          <cell r="AN31">
            <v>136</v>
          </cell>
          <cell r="AO31">
            <v>103</v>
          </cell>
          <cell r="AP31">
            <v>121</v>
          </cell>
          <cell r="AQ31">
            <v>110</v>
          </cell>
          <cell r="AR31">
            <v>88</v>
          </cell>
          <cell r="AS31">
            <v>96</v>
          </cell>
          <cell r="AT31">
            <v>86</v>
          </cell>
          <cell r="AU31">
            <v>68</v>
          </cell>
          <cell r="AW31">
            <v>76</v>
          </cell>
          <cell r="AX31">
            <v>68</v>
          </cell>
          <cell r="AY31">
            <v>58</v>
          </cell>
          <cell r="AZ31">
            <v>47</v>
          </cell>
          <cell r="BA31">
            <v>46</v>
          </cell>
          <cell r="BB31" t="str">
            <v>N/A</v>
          </cell>
          <cell r="BC31" t="str">
            <v>N/A</v>
          </cell>
          <cell r="BE31">
            <v>94</v>
          </cell>
          <cell r="BF31">
            <v>78</v>
          </cell>
          <cell r="BG31">
            <v>60</v>
          </cell>
          <cell r="BH31">
            <v>51</v>
          </cell>
          <cell r="BI31">
            <v>44</v>
          </cell>
          <cell r="BJ31" t="str">
            <v>N/A</v>
          </cell>
          <cell r="BK31" t="str">
            <v>N/A</v>
          </cell>
          <cell r="BL31">
            <v>1</v>
          </cell>
          <cell r="BM31" t="str">
            <v>N/A</v>
          </cell>
          <cell r="BN31">
            <v>5000000</v>
          </cell>
        </row>
        <row r="32">
          <cell r="A32">
            <v>4</v>
          </cell>
          <cell r="B32" t="str">
            <v>US, Public Sector</v>
          </cell>
          <cell r="C32">
            <v>479.52000000000004</v>
          </cell>
          <cell r="D32">
            <v>461.76000000000005</v>
          </cell>
          <cell r="E32">
            <v>444.00000000000006</v>
          </cell>
          <cell r="F32">
            <v>389.61</v>
          </cell>
          <cell r="G32" t="str">
            <v xml:space="preserve"> </v>
          </cell>
          <cell r="H32">
            <v>359.64000000000004</v>
          </cell>
          <cell r="I32">
            <v>335.22</v>
          </cell>
          <cell r="J32">
            <v>347.43</v>
          </cell>
          <cell r="K32">
            <v>311.91000000000003</v>
          </cell>
          <cell r="L32">
            <v>287.49</v>
          </cell>
          <cell r="M32">
            <v>299.70000000000005</v>
          </cell>
          <cell r="N32">
            <v>269.73</v>
          </cell>
          <cell r="O32">
            <v>245.31000000000003</v>
          </cell>
          <cell r="P32">
            <v>257.52000000000004</v>
          </cell>
          <cell r="R32">
            <v>215.34000000000003</v>
          </cell>
          <cell r="S32">
            <v>197.58</v>
          </cell>
          <cell r="T32">
            <v>174.27</v>
          </cell>
          <cell r="U32">
            <v>137.64000000000001</v>
          </cell>
          <cell r="V32">
            <v>102.12</v>
          </cell>
          <cell r="W32" t="str">
            <v>N/A</v>
          </cell>
          <cell r="X32" t="str">
            <v>N/A</v>
          </cell>
          <cell r="Z32">
            <v>270.84000000000003</v>
          </cell>
          <cell r="AA32">
            <v>257.52000000000004</v>
          </cell>
          <cell r="AB32">
            <v>210.9</v>
          </cell>
          <cell r="AC32">
            <v>184.26000000000002</v>
          </cell>
          <cell r="AD32">
            <v>132.09</v>
          </cell>
          <cell r="AE32" t="str">
            <v>N/A</v>
          </cell>
          <cell r="AF32" t="str">
            <v>N/A</v>
          </cell>
          <cell r="AH32" t="str">
            <v>N/A</v>
          </cell>
          <cell r="AI32" t="str">
            <v>N/A</v>
          </cell>
          <cell r="AJ32">
            <v>212.76000000000002</v>
          </cell>
          <cell r="AK32">
            <v>173.88000000000002</v>
          </cell>
          <cell r="AL32" t="str">
            <v xml:space="preserve"> </v>
          </cell>
          <cell r="AM32">
            <v>128.52000000000001</v>
          </cell>
          <cell r="AN32">
            <v>118.80000000000001</v>
          </cell>
          <cell r="AO32">
            <v>91.800000000000011</v>
          </cell>
          <cell r="AP32">
            <v>108</v>
          </cell>
          <cell r="AQ32">
            <v>99.360000000000014</v>
          </cell>
          <cell r="AR32">
            <v>82.080000000000013</v>
          </cell>
          <cell r="AS32">
            <v>91.800000000000011</v>
          </cell>
          <cell r="AT32">
            <v>86.4</v>
          </cell>
          <cell r="AU32">
            <v>58.320000000000007</v>
          </cell>
          <cell r="AW32">
            <v>70.2</v>
          </cell>
          <cell r="AX32">
            <v>65.88000000000001</v>
          </cell>
          <cell r="AY32">
            <v>56.160000000000004</v>
          </cell>
          <cell r="AZ32">
            <v>44.28</v>
          </cell>
          <cell r="BA32">
            <v>38.880000000000003</v>
          </cell>
          <cell r="BB32" t="str">
            <v>N/A</v>
          </cell>
          <cell r="BC32" t="str">
            <v>N/A</v>
          </cell>
          <cell r="BE32">
            <v>79.92</v>
          </cell>
          <cell r="BF32">
            <v>68.040000000000006</v>
          </cell>
          <cell r="BG32">
            <v>56.160000000000004</v>
          </cell>
          <cell r="BH32">
            <v>47.52</v>
          </cell>
          <cell r="BI32">
            <v>34.56</v>
          </cell>
          <cell r="BJ32" t="str">
            <v>N/A</v>
          </cell>
          <cell r="BK32" t="str">
            <v>N/A</v>
          </cell>
          <cell r="BL32">
            <v>1</v>
          </cell>
          <cell r="BM32" t="str">
            <v>N/A</v>
          </cell>
          <cell r="BN32">
            <v>5000000</v>
          </cell>
        </row>
        <row r="33">
          <cell r="A33">
            <v>5</v>
          </cell>
          <cell r="B33" t="str">
            <v>WW NT Services</v>
          </cell>
          <cell r="C33">
            <v>479.52000000000004</v>
          </cell>
          <cell r="D33">
            <v>461.76000000000005</v>
          </cell>
          <cell r="E33">
            <v>444.00000000000006</v>
          </cell>
          <cell r="F33">
            <v>389.61</v>
          </cell>
          <cell r="G33" t="str">
            <v xml:space="preserve"> </v>
          </cell>
          <cell r="H33">
            <v>359.64000000000004</v>
          </cell>
          <cell r="I33">
            <v>335.22</v>
          </cell>
          <cell r="J33">
            <v>347.43</v>
          </cell>
          <cell r="K33">
            <v>311.91000000000003</v>
          </cell>
          <cell r="L33">
            <v>287.49</v>
          </cell>
          <cell r="M33">
            <v>299.70000000000005</v>
          </cell>
          <cell r="N33">
            <v>269.73</v>
          </cell>
          <cell r="O33">
            <v>245.31000000000003</v>
          </cell>
          <cell r="P33">
            <v>257.52000000000004</v>
          </cell>
          <cell r="R33">
            <v>215.34000000000003</v>
          </cell>
          <cell r="S33">
            <v>197.58</v>
          </cell>
          <cell r="T33">
            <v>174.27</v>
          </cell>
          <cell r="U33">
            <v>137.64000000000001</v>
          </cell>
          <cell r="V33">
            <v>102.12</v>
          </cell>
          <cell r="W33" t="str">
            <v>N/A</v>
          </cell>
          <cell r="X33" t="str">
            <v>N/A</v>
          </cell>
          <cell r="Z33">
            <v>270.84000000000003</v>
          </cell>
          <cell r="AA33">
            <v>257.52000000000004</v>
          </cell>
          <cell r="AB33">
            <v>210.9</v>
          </cell>
          <cell r="AC33">
            <v>184.26000000000002</v>
          </cell>
          <cell r="AD33">
            <v>132.09</v>
          </cell>
          <cell r="AE33" t="str">
            <v>N/A</v>
          </cell>
          <cell r="AF33" t="str">
            <v>N/A</v>
          </cell>
          <cell r="AH33">
            <v>501</v>
          </cell>
          <cell r="AI33">
            <v>333</v>
          </cell>
          <cell r="AJ33">
            <v>323</v>
          </cell>
          <cell r="AK33">
            <v>292</v>
          </cell>
          <cell r="AL33" t="str">
            <v xml:space="preserve"> </v>
          </cell>
          <cell r="AM33">
            <v>136</v>
          </cell>
          <cell r="AN33">
            <v>128</v>
          </cell>
          <cell r="AO33">
            <v>133</v>
          </cell>
          <cell r="AP33">
            <v>123</v>
          </cell>
          <cell r="AQ33">
            <v>119</v>
          </cell>
          <cell r="AR33">
            <v>91</v>
          </cell>
          <cell r="AS33">
            <v>107</v>
          </cell>
          <cell r="AT33">
            <v>75</v>
          </cell>
          <cell r="AU33">
            <v>85</v>
          </cell>
          <cell r="AW33">
            <v>66</v>
          </cell>
          <cell r="AX33">
            <v>64</v>
          </cell>
          <cell r="AY33">
            <v>55</v>
          </cell>
          <cell r="AZ33">
            <v>52</v>
          </cell>
          <cell r="BA33">
            <v>38</v>
          </cell>
          <cell r="BB33" t="str">
            <v>N/A</v>
          </cell>
          <cell r="BC33" t="str">
            <v>N/A</v>
          </cell>
          <cell r="BE33">
            <v>75</v>
          </cell>
          <cell r="BF33">
            <v>63</v>
          </cell>
          <cell r="BG33">
            <v>53</v>
          </cell>
          <cell r="BH33">
            <v>48</v>
          </cell>
          <cell r="BI33">
            <v>43</v>
          </cell>
          <cell r="BJ33" t="str">
            <v>N/A</v>
          </cell>
          <cell r="BK33" t="str">
            <v>N/A</v>
          </cell>
          <cell r="BL33">
            <v>1</v>
          </cell>
          <cell r="BM33" t="str">
            <v>N/A</v>
          </cell>
          <cell r="BN33">
            <v>5000000</v>
          </cell>
        </row>
        <row r="34">
          <cell r="A34">
            <v>6</v>
          </cell>
          <cell r="B34" t="str">
            <v>WW, Communication</v>
          </cell>
          <cell r="C34">
            <v>479.52000000000004</v>
          </cell>
          <cell r="D34">
            <v>461.76000000000005</v>
          </cell>
          <cell r="E34">
            <v>444.00000000000006</v>
          </cell>
          <cell r="F34">
            <v>389.61</v>
          </cell>
          <cell r="G34" t="str">
            <v xml:space="preserve"> </v>
          </cell>
          <cell r="H34">
            <v>359.64000000000004</v>
          </cell>
          <cell r="I34">
            <v>335.22</v>
          </cell>
          <cell r="J34">
            <v>347.43</v>
          </cell>
          <cell r="K34">
            <v>311.91000000000003</v>
          </cell>
          <cell r="L34">
            <v>287.49</v>
          </cell>
          <cell r="M34">
            <v>299.70000000000005</v>
          </cell>
          <cell r="N34">
            <v>269.73</v>
          </cell>
          <cell r="O34">
            <v>245.31000000000003</v>
          </cell>
          <cell r="P34">
            <v>257.52000000000004</v>
          </cell>
          <cell r="R34">
            <v>215.34000000000003</v>
          </cell>
          <cell r="S34">
            <v>197.58</v>
          </cell>
          <cell r="T34">
            <v>174.27</v>
          </cell>
          <cell r="U34">
            <v>137.64000000000001</v>
          </cell>
          <cell r="V34">
            <v>102.12</v>
          </cell>
          <cell r="W34" t="str">
            <v>N/A</v>
          </cell>
          <cell r="X34" t="str">
            <v>N/A</v>
          </cell>
          <cell r="Z34">
            <v>270.84000000000003</v>
          </cell>
          <cell r="AA34">
            <v>257.52000000000004</v>
          </cell>
          <cell r="AB34">
            <v>210.9</v>
          </cell>
          <cell r="AC34">
            <v>184.26000000000002</v>
          </cell>
          <cell r="AD34">
            <v>132.09</v>
          </cell>
          <cell r="AE34" t="str">
            <v>N/A</v>
          </cell>
          <cell r="AF34" t="str">
            <v>N/A</v>
          </cell>
          <cell r="AH34" t="str">
            <v>N/A</v>
          </cell>
          <cell r="AI34" t="str">
            <v>N/A</v>
          </cell>
          <cell r="AJ34" t="str">
            <v>N/A</v>
          </cell>
          <cell r="AK34">
            <v>122</v>
          </cell>
          <cell r="AL34" t="str">
            <v xml:space="preserve"> </v>
          </cell>
          <cell r="AM34">
            <v>110</v>
          </cell>
          <cell r="AN34" t="str">
            <v>N/A</v>
          </cell>
          <cell r="AO34" t="str">
            <v>N/A</v>
          </cell>
          <cell r="AP34">
            <v>104</v>
          </cell>
          <cell r="AQ34">
            <v>96</v>
          </cell>
          <cell r="AR34" t="str">
            <v>N/A</v>
          </cell>
          <cell r="AS34">
            <v>82</v>
          </cell>
          <cell r="AT34">
            <v>86</v>
          </cell>
          <cell r="AU34" t="str">
            <v>N/A</v>
          </cell>
          <cell r="AW34">
            <v>65</v>
          </cell>
          <cell r="AX34">
            <v>59</v>
          </cell>
          <cell r="AY34">
            <v>50</v>
          </cell>
          <cell r="AZ34">
            <v>46</v>
          </cell>
          <cell r="BA34">
            <v>41</v>
          </cell>
          <cell r="BB34" t="str">
            <v>N/A</v>
          </cell>
          <cell r="BC34" t="str">
            <v>N/A</v>
          </cell>
          <cell r="BE34">
            <v>84</v>
          </cell>
          <cell r="BF34">
            <v>72</v>
          </cell>
          <cell r="BG34" t="str">
            <v>N/A</v>
          </cell>
          <cell r="BH34" t="str">
            <v>N/A</v>
          </cell>
          <cell r="BI34" t="str">
            <v>N/A</v>
          </cell>
          <cell r="BJ34" t="str">
            <v>N/A</v>
          </cell>
          <cell r="BK34" t="str">
            <v>N/A</v>
          </cell>
          <cell r="BL34">
            <v>1</v>
          </cell>
          <cell r="BM34" t="str">
            <v>N/A</v>
          </cell>
          <cell r="BN34">
            <v>5000000</v>
          </cell>
        </row>
        <row r="35">
          <cell r="A35">
            <v>7</v>
          </cell>
          <cell r="B35" t="str">
            <v>WW, Transportation</v>
          </cell>
          <cell r="C35">
            <v>496.79999999999995</v>
          </cell>
          <cell r="D35">
            <v>478.4</v>
          </cell>
          <cell r="E35">
            <v>459.99999999999994</v>
          </cell>
          <cell r="F35">
            <v>403.65</v>
          </cell>
          <cell r="G35" t="str">
            <v xml:space="preserve"> </v>
          </cell>
          <cell r="H35">
            <v>372.59999999999997</v>
          </cell>
          <cell r="I35">
            <v>347.29999999999995</v>
          </cell>
          <cell r="J35">
            <v>359.95</v>
          </cell>
          <cell r="K35">
            <v>323.14999999999998</v>
          </cell>
          <cell r="L35">
            <v>297.84999999999997</v>
          </cell>
          <cell r="M35">
            <v>310.5</v>
          </cell>
          <cell r="N35">
            <v>279.45</v>
          </cell>
          <cell r="O35">
            <v>254.14999999999998</v>
          </cell>
          <cell r="P35">
            <v>266.79999999999995</v>
          </cell>
          <cell r="R35">
            <v>223.1</v>
          </cell>
          <cell r="S35">
            <v>204.7</v>
          </cell>
          <cell r="T35">
            <v>180.54999999999998</v>
          </cell>
          <cell r="U35">
            <v>142.6</v>
          </cell>
          <cell r="V35">
            <v>105.8</v>
          </cell>
          <cell r="W35" t="str">
            <v>N/A</v>
          </cell>
          <cell r="X35" t="str">
            <v>N/A</v>
          </cell>
          <cell r="Z35">
            <v>280.59999999999997</v>
          </cell>
          <cell r="AA35">
            <v>266.79999999999995</v>
          </cell>
          <cell r="AB35">
            <v>218.49999999999997</v>
          </cell>
          <cell r="AC35">
            <v>190.89999999999998</v>
          </cell>
          <cell r="AD35">
            <v>136.85</v>
          </cell>
          <cell r="AE35" t="str">
            <v>N/A</v>
          </cell>
          <cell r="AF35" t="str">
            <v>N/A</v>
          </cell>
          <cell r="AH35" t="str">
            <v>N/A</v>
          </cell>
          <cell r="AI35" t="str">
            <v>N/A</v>
          </cell>
          <cell r="AJ35">
            <v>177</v>
          </cell>
          <cell r="AK35">
            <v>148</v>
          </cell>
          <cell r="AL35" t="str">
            <v xml:space="preserve"> </v>
          </cell>
          <cell r="AM35">
            <v>120</v>
          </cell>
          <cell r="AN35">
            <v>108</v>
          </cell>
          <cell r="AO35" t="str">
            <v>N/A</v>
          </cell>
          <cell r="AP35">
            <v>96</v>
          </cell>
          <cell r="AQ35">
            <v>94</v>
          </cell>
          <cell r="AR35" t="str">
            <v>N/A</v>
          </cell>
          <cell r="AS35">
            <v>68</v>
          </cell>
          <cell r="AT35">
            <v>65</v>
          </cell>
          <cell r="AU35" t="str">
            <v>N/A</v>
          </cell>
          <cell r="AW35">
            <v>59</v>
          </cell>
          <cell r="AX35">
            <v>52</v>
          </cell>
          <cell r="AY35">
            <v>46</v>
          </cell>
          <cell r="AZ35">
            <v>40</v>
          </cell>
          <cell r="BA35">
            <v>39</v>
          </cell>
          <cell r="BB35" t="str">
            <v>N/A</v>
          </cell>
          <cell r="BC35" t="str">
            <v>N/A</v>
          </cell>
          <cell r="BE35">
            <v>86</v>
          </cell>
          <cell r="BF35">
            <v>68</v>
          </cell>
          <cell r="BG35">
            <v>62</v>
          </cell>
          <cell r="BH35" t="str">
            <v>N/A</v>
          </cell>
          <cell r="BI35" t="str">
            <v>N/A</v>
          </cell>
          <cell r="BJ35" t="str">
            <v>N/A</v>
          </cell>
          <cell r="BK35" t="str">
            <v>N/A</v>
          </cell>
          <cell r="BL35">
            <v>1</v>
          </cell>
          <cell r="BM35" t="str">
            <v>N/A</v>
          </cell>
          <cell r="BN35">
            <v>5000000</v>
          </cell>
        </row>
        <row r="36">
          <cell r="A36">
            <v>8</v>
          </cell>
          <cell r="B36" t="str">
            <v>Other</v>
          </cell>
          <cell r="C36" t="str">
            <v>N/A</v>
          </cell>
          <cell r="D36" t="str">
            <v>N/A</v>
          </cell>
          <cell r="E36" t="str">
            <v>N/A</v>
          </cell>
          <cell r="F36" t="str">
            <v>N/A</v>
          </cell>
          <cell r="H36" t="str">
            <v>N/A</v>
          </cell>
          <cell r="I36" t="str">
            <v>N/A</v>
          </cell>
          <cell r="J36" t="str">
            <v>N/A</v>
          </cell>
          <cell r="K36" t="str">
            <v>N/A</v>
          </cell>
          <cell r="L36" t="str">
            <v>N/A</v>
          </cell>
          <cell r="M36" t="str">
            <v>N/A</v>
          </cell>
          <cell r="N36" t="str">
            <v>N/A</v>
          </cell>
          <cell r="O36" t="str">
            <v>N/A</v>
          </cell>
          <cell r="P36" t="str">
            <v>N/A</v>
          </cell>
          <cell r="R36" t="str">
            <v>N/A</v>
          </cell>
          <cell r="S36" t="str">
            <v>N/A</v>
          </cell>
          <cell r="T36" t="str">
            <v>N/A</v>
          </cell>
          <cell r="U36" t="str">
            <v>N/A</v>
          </cell>
          <cell r="V36" t="str">
            <v>N/A</v>
          </cell>
          <cell r="W36" t="str">
            <v>N/A</v>
          </cell>
          <cell r="X36" t="str">
            <v>N/A</v>
          </cell>
          <cell r="Z36" t="str">
            <v>N/A</v>
          </cell>
          <cell r="AA36" t="str">
            <v>N/A</v>
          </cell>
          <cell r="AB36" t="str">
            <v>N/A</v>
          </cell>
          <cell r="AC36" t="str">
            <v>N/A</v>
          </cell>
          <cell r="AD36" t="str">
            <v>N/A</v>
          </cell>
          <cell r="AE36" t="str">
            <v>N/A</v>
          </cell>
          <cell r="AF36" t="str">
            <v>N/A</v>
          </cell>
          <cell r="AH36" t="str">
            <v>N/A</v>
          </cell>
          <cell r="AI36" t="str">
            <v>N/A</v>
          </cell>
          <cell r="AJ36" t="str">
            <v>N/A</v>
          </cell>
          <cell r="AK36" t="str">
            <v>N/A</v>
          </cell>
          <cell r="AL36" t="str">
            <v xml:space="preserve"> </v>
          </cell>
          <cell r="AM36" t="str">
            <v>N/A</v>
          </cell>
          <cell r="AN36" t="str">
            <v>N/A</v>
          </cell>
          <cell r="AO36" t="str">
            <v>N/A</v>
          </cell>
          <cell r="AP36" t="str">
            <v>N/A</v>
          </cell>
          <cell r="AQ36" t="str">
            <v>N/A</v>
          </cell>
          <cell r="AR36" t="str">
            <v>N/A</v>
          </cell>
          <cell r="AS36" t="str">
            <v>N/A</v>
          </cell>
          <cell r="AT36" t="str">
            <v>N/A</v>
          </cell>
          <cell r="AU36" t="str">
            <v>N/A</v>
          </cell>
          <cell r="AW36" t="str">
            <v>N/A</v>
          </cell>
          <cell r="AX36" t="str">
            <v>N/A</v>
          </cell>
          <cell r="AY36" t="str">
            <v>N/A</v>
          </cell>
          <cell r="AZ36" t="str">
            <v>N/A</v>
          </cell>
          <cell r="BA36" t="str">
            <v>N/A</v>
          </cell>
          <cell r="BB36" t="str">
            <v>N/A</v>
          </cell>
          <cell r="BC36" t="str">
            <v>N/A</v>
          </cell>
          <cell r="BE36" t="str">
            <v>N/A</v>
          </cell>
          <cell r="BF36" t="str">
            <v>N/A</v>
          </cell>
          <cell r="BG36" t="str">
            <v>N/A</v>
          </cell>
          <cell r="BH36" t="str">
            <v>N/A</v>
          </cell>
          <cell r="BI36" t="str">
            <v>N/A</v>
          </cell>
          <cell r="BJ36" t="str">
            <v>N/A</v>
          </cell>
          <cell r="BK36" t="str">
            <v>N/A</v>
          </cell>
          <cell r="BL36">
            <v>1</v>
          </cell>
          <cell r="BM36" t="str">
            <v>N/A</v>
          </cell>
          <cell r="BN36">
            <v>1000000</v>
          </cell>
        </row>
      </sheetData>
      <sheetData sheetId="33" refreshError="1"/>
      <sheetData sheetId="3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okup"/>
    </sheet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Terms"/>
      <sheetName val="Metric Selector"/>
      <sheetName val="Aggregated Metrics"/>
      <sheetName val="Basic chart"/>
    </sheetNames>
    <sheetDataSet>
      <sheetData sheetId="0"/>
      <sheetData sheetId="1"/>
      <sheetData sheetId="2"/>
      <sheetData sheetId="3">
        <row r="7">
          <cell r="A7">
            <v>7380</v>
          </cell>
          <cell r="B7" t="str">
            <v>Total cost of the process "operate outbound transportation" per $1,000 revenue</v>
          </cell>
          <cell r="C7" t="str">
            <v>Logistics</v>
          </cell>
          <cell r="D7">
            <v>55.984000000000002</v>
          </cell>
          <cell r="E7">
            <v>29.040700000000001</v>
          </cell>
          <cell r="F7">
            <v>14.107799999999999</v>
          </cell>
          <cell r="G7">
            <v>121</v>
          </cell>
          <cell r="H7">
            <v>37.229300000000002</v>
          </cell>
          <cell r="I7">
            <v>26.635100000000001</v>
          </cell>
          <cell r="J7">
            <v>15.039899999999999</v>
          </cell>
          <cell r="K7">
            <v>9</v>
          </cell>
          <cell r="L7">
            <v>28.567499999999999</v>
          </cell>
          <cell r="M7">
            <v>22.285699999999999</v>
          </cell>
          <cell r="N7">
            <v>13.8529</v>
          </cell>
          <cell r="O7">
            <v>9</v>
          </cell>
          <cell r="P7">
            <v>68.8</v>
          </cell>
          <cell r="Q7">
            <v>28.0623</v>
          </cell>
          <cell r="R7">
            <v>14.666700000000001</v>
          </cell>
          <cell r="S7">
            <v>25</v>
          </cell>
          <cell r="T7">
            <v>351.37740000000002</v>
          </cell>
          <cell r="U7">
            <v>162.72620000000001</v>
          </cell>
          <cell r="V7">
            <v>52.967399999999998</v>
          </cell>
          <cell r="W7">
            <v>11</v>
          </cell>
          <cell r="X7">
            <v>24.660499999999999</v>
          </cell>
          <cell r="Y7">
            <v>14.107799999999999</v>
          </cell>
          <cell r="Z7">
            <v>2.8713000000000002</v>
          </cell>
          <cell r="AA7">
            <v>11</v>
          </cell>
          <cell r="AB7">
            <v>65.553299999999993</v>
          </cell>
          <cell r="AC7">
            <v>54.179600000000001</v>
          </cell>
          <cell r="AD7">
            <v>34.9026</v>
          </cell>
          <cell r="AE7">
            <v>14</v>
          </cell>
          <cell r="AF7">
            <v>34.239199999999997</v>
          </cell>
          <cell r="AG7">
            <v>23.377800000000001</v>
          </cell>
          <cell r="AH7">
            <v>16.630800000000001</v>
          </cell>
          <cell r="AI7">
            <v>12</v>
          </cell>
          <cell r="AJ7">
            <v>56.738900000000001</v>
          </cell>
          <cell r="AK7">
            <v>30.880199999999999</v>
          </cell>
          <cell r="AL7">
            <v>15.5594</v>
          </cell>
          <cell r="AM7">
            <v>8</v>
          </cell>
          <cell r="AN7">
            <v>62.696800000000003</v>
          </cell>
          <cell r="AO7">
            <v>34.892800000000001</v>
          </cell>
          <cell r="AP7">
            <v>14.795500000000001</v>
          </cell>
          <cell r="AQ7">
            <v>15</v>
          </cell>
          <cell r="AZ7">
            <v>44.908299999999997</v>
          </cell>
          <cell r="BA7">
            <v>30.6708</v>
          </cell>
          <cell r="BB7">
            <v>14.675000000000001</v>
          </cell>
          <cell r="BC7">
            <v>25</v>
          </cell>
          <cell r="BD7">
            <v>45.470424999999999</v>
          </cell>
          <cell r="BE7">
            <v>18.752850000000002</v>
          </cell>
          <cell r="BF7">
            <v>14.115225000000001</v>
          </cell>
          <cell r="BG7">
            <v>8</v>
          </cell>
          <cell r="BH7">
            <v>49.023825000000002</v>
          </cell>
          <cell r="BI7">
            <v>22.70505</v>
          </cell>
          <cell r="BJ7">
            <v>11.264225</v>
          </cell>
          <cell r="BK7">
            <v>30</v>
          </cell>
          <cell r="BL7">
            <v>76.18535</v>
          </cell>
          <cell r="BM7">
            <v>42.3352</v>
          </cell>
          <cell r="BN7">
            <v>7.9809999999999999</v>
          </cell>
          <cell r="BO7">
            <v>15</v>
          </cell>
          <cell r="BP7">
            <v>88.971800000000002</v>
          </cell>
          <cell r="BQ7">
            <v>46.363999999999997</v>
          </cell>
          <cell r="BR7">
            <v>17.762499999999999</v>
          </cell>
          <cell r="BS7">
            <v>17</v>
          </cell>
          <cell r="BT7">
            <v>47.383024999999996</v>
          </cell>
          <cell r="BU7">
            <v>28.804099999999998</v>
          </cell>
          <cell r="BV7">
            <v>17.220925000000001</v>
          </cell>
          <cell r="BW7">
            <v>26</v>
          </cell>
        </row>
        <row r="8">
          <cell r="A8">
            <v>7390</v>
          </cell>
          <cell r="B8" t="str">
            <v>Expedited costs as a percentage of total logistics costs</v>
          </cell>
          <cell r="C8" t="str">
            <v>Logistics</v>
          </cell>
          <cell r="D8">
            <v>8</v>
          </cell>
          <cell r="E8">
            <v>3.75</v>
          </cell>
          <cell r="F8">
            <v>1</v>
          </cell>
          <cell r="G8">
            <v>198</v>
          </cell>
          <cell r="H8">
            <v>22.25</v>
          </cell>
          <cell r="I8">
            <v>13</v>
          </cell>
          <cell r="J8">
            <v>7.5</v>
          </cell>
          <cell r="K8">
            <v>12</v>
          </cell>
          <cell r="L8">
            <v>5.65</v>
          </cell>
          <cell r="M8">
            <v>4.5599999999999996</v>
          </cell>
          <cell r="N8">
            <v>3</v>
          </cell>
          <cell r="O8">
            <v>15</v>
          </cell>
          <cell r="P8">
            <v>5</v>
          </cell>
          <cell r="Q8">
            <v>3</v>
          </cell>
          <cell r="R8">
            <v>2</v>
          </cell>
          <cell r="S8">
            <v>37</v>
          </cell>
          <cell r="T8">
            <v>8</v>
          </cell>
          <cell r="U8">
            <v>5</v>
          </cell>
          <cell r="V8">
            <v>1</v>
          </cell>
          <cell r="W8">
            <v>19</v>
          </cell>
          <cell r="X8">
            <v>15</v>
          </cell>
          <cell r="Y8">
            <v>5</v>
          </cell>
          <cell r="Z8">
            <v>4</v>
          </cell>
          <cell r="AA8">
            <v>25</v>
          </cell>
          <cell r="AB8">
            <v>5.25</v>
          </cell>
          <cell r="AC8">
            <v>2.25</v>
          </cell>
          <cell r="AD8">
            <v>0.5</v>
          </cell>
          <cell r="AE8">
            <v>28</v>
          </cell>
          <cell r="AF8">
            <v>8</v>
          </cell>
          <cell r="AG8">
            <v>3</v>
          </cell>
          <cell r="AH8">
            <v>0.9</v>
          </cell>
          <cell r="AI8">
            <v>17</v>
          </cell>
          <cell r="AJ8">
            <v>6.5</v>
          </cell>
          <cell r="AK8">
            <v>4.5</v>
          </cell>
          <cell r="AL8">
            <v>0.92500000000000004</v>
          </cell>
          <cell r="AM8">
            <v>11</v>
          </cell>
          <cell r="AN8">
            <v>6.5</v>
          </cell>
          <cell r="AO8">
            <v>2.35</v>
          </cell>
          <cell r="AP8">
            <v>2</v>
          </cell>
          <cell r="AQ8">
            <v>26</v>
          </cell>
          <cell r="AZ8">
            <v>5</v>
          </cell>
          <cell r="BA8">
            <v>2.8</v>
          </cell>
          <cell r="BB8">
            <v>0.5</v>
          </cell>
          <cell r="BC8">
            <v>49</v>
          </cell>
          <cell r="BD8">
            <v>6.25</v>
          </cell>
          <cell r="BE8">
            <v>2.1</v>
          </cell>
          <cell r="BF8">
            <v>1</v>
          </cell>
          <cell r="BG8">
            <v>20</v>
          </cell>
          <cell r="BH8">
            <v>8</v>
          </cell>
          <cell r="BI8">
            <v>3</v>
          </cell>
          <cell r="BJ8">
            <v>1</v>
          </cell>
          <cell r="BK8">
            <v>46</v>
          </cell>
          <cell r="BL8">
            <v>5</v>
          </cell>
          <cell r="BM8">
            <v>4</v>
          </cell>
          <cell r="BN8">
            <v>2</v>
          </cell>
          <cell r="BO8">
            <v>22</v>
          </cell>
          <cell r="BP8">
            <v>16.5</v>
          </cell>
          <cell r="BQ8">
            <v>5</v>
          </cell>
          <cell r="BR8">
            <v>3</v>
          </cell>
          <cell r="BS8">
            <v>19</v>
          </cell>
          <cell r="BT8">
            <v>9.5</v>
          </cell>
          <cell r="BU8">
            <v>5</v>
          </cell>
          <cell r="BV8">
            <v>3.5</v>
          </cell>
          <cell r="BW8">
            <v>31</v>
          </cell>
        </row>
        <row r="9">
          <cell r="A9">
            <v>7393</v>
          </cell>
          <cell r="B9" t="str">
            <v>Percentage of sales orders delivered on time</v>
          </cell>
          <cell r="C9" t="str">
            <v>Logistics</v>
          </cell>
          <cell r="D9">
            <v>85</v>
          </cell>
          <cell r="E9">
            <v>93</v>
          </cell>
          <cell r="F9">
            <v>97</v>
          </cell>
          <cell r="G9">
            <v>387</v>
          </cell>
          <cell r="H9">
            <v>92</v>
          </cell>
          <cell r="I9">
            <v>94</v>
          </cell>
          <cell r="J9">
            <v>98</v>
          </cell>
          <cell r="K9">
            <v>19</v>
          </cell>
          <cell r="L9">
            <v>89</v>
          </cell>
          <cell r="M9">
            <v>93</v>
          </cell>
          <cell r="N9">
            <v>98</v>
          </cell>
          <cell r="O9">
            <v>21</v>
          </cell>
          <cell r="P9">
            <v>87.7</v>
          </cell>
          <cell r="Q9">
            <v>93</v>
          </cell>
          <cell r="R9">
            <v>96.54</v>
          </cell>
          <cell r="S9">
            <v>73</v>
          </cell>
          <cell r="T9">
            <v>92</v>
          </cell>
          <cell r="U9">
            <v>96</v>
          </cell>
          <cell r="V9">
            <v>97</v>
          </cell>
          <cell r="W9">
            <v>23</v>
          </cell>
          <cell r="X9">
            <v>81.5</v>
          </cell>
          <cell r="Y9">
            <v>90</v>
          </cell>
          <cell r="Z9">
            <v>96</v>
          </cell>
          <cell r="AA9">
            <v>48</v>
          </cell>
          <cell r="AB9">
            <v>79.25</v>
          </cell>
          <cell r="AC9">
            <v>89.5</v>
          </cell>
          <cell r="AD9">
            <v>96</v>
          </cell>
          <cell r="AE9">
            <v>82</v>
          </cell>
          <cell r="AF9">
            <v>82.15</v>
          </cell>
          <cell r="AG9">
            <v>91</v>
          </cell>
          <cell r="AH9">
            <v>95</v>
          </cell>
          <cell r="AI9">
            <v>31</v>
          </cell>
          <cell r="AJ9">
            <v>93</v>
          </cell>
          <cell r="AK9">
            <v>98</v>
          </cell>
          <cell r="AL9">
            <v>98.5</v>
          </cell>
          <cell r="AM9">
            <v>17</v>
          </cell>
          <cell r="AN9">
            <v>90.5</v>
          </cell>
          <cell r="AO9">
            <v>95</v>
          </cell>
          <cell r="AP9">
            <v>98</v>
          </cell>
          <cell r="AQ9">
            <v>43</v>
          </cell>
          <cell r="AR9">
            <v>85</v>
          </cell>
          <cell r="AS9">
            <v>90</v>
          </cell>
          <cell r="AT9">
            <v>94</v>
          </cell>
          <cell r="AU9">
            <v>13</v>
          </cell>
          <cell r="AZ9">
            <v>79.7</v>
          </cell>
          <cell r="BA9">
            <v>93</v>
          </cell>
          <cell r="BB9">
            <v>97.7</v>
          </cell>
          <cell r="BC9">
            <v>163</v>
          </cell>
          <cell r="BD9">
            <v>80</v>
          </cell>
          <cell r="BE9">
            <v>88</v>
          </cell>
          <cell r="BF9">
            <v>96</v>
          </cell>
          <cell r="BG9">
            <v>37</v>
          </cell>
          <cell r="BH9">
            <v>87</v>
          </cell>
          <cell r="BI9">
            <v>92.2</v>
          </cell>
          <cell r="BJ9">
            <v>97.385000000000005</v>
          </cell>
          <cell r="BK9">
            <v>79</v>
          </cell>
          <cell r="BL9">
            <v>89.325000000000003</v>
          </cell>
          <cell r="BM9">
            <v>93</v>
          </cell>
          <cell r="BN9">
            <v>95</v>
          </cell>
          <cell r="BO9">
            <v>34</v>
          </cell>
          <cell r="BP9">
            <v>89.2</v>
          </cell>
          <cell r="BQ9">
            <v>93</v>
          </cell>
          <cell r="BR9">
            <v>94.5</v>
          </cell>
          <cell r="BS9">
            <v>23</v>
          </cell>
          <cell r="BT9">
            <v>91.5</v>
          </cell>
          <cell r="BU9">
            <v>93</v>
          </cell>
          <cell r="BV9">
            <v>94</v>
          </cell>
          <cell r="BW9">
            <v>35</v>
          </cell>
        </row>
        <row r="10">
          <cell r="A10">
            <v>7394</v>
          </cell>
          <cell r="B10" t="str">
            <v>Perfect order performance</v>
          </cell>
          <cell r="C10" t="str">
            <v>Logistics</v>
          </cell>
          <cell r="D10">
            <v>84.924999999999997</v>
          </cell>
          <cell r="E10">
            <v>92</v>
          </cell>
          <cell r="F10">
            <v>95</v>
          </cell>
          <cell r="G10">
            <v>204</v>
          </cell>
          <cell r="H10">
            <v>92</v>
          </cell>
          <cell r="I10">
            <v>93.82</v>
          </cell>
          <cell r="J10">
            <v>95</v>
          </cell>
          <cell r="K10">
            <v>19</v>
          </cell>
          <cell r="L10">
            <v>91.25</v>
          </cell>
          <cell r="M10">
            <v>96</v>
          </cell>
          <cell r="N10">
            <v>98.25</v>
          </cell>
          <cell r="O10">
            <v>16</v>
          </cell>
          <cell r="P10">
            <v>85</v>
          </cell>
          <cell r="Q10">
            <v>93</v>
          </cell>
          <cell r="R10">
            <v>95.75</v>
          </cell>
          <cell r="S10">
            <v>35</v>
          </cell>
          <cell r="T10">
            <v>84</v>
          </cell>
          <cell r="U10">
            <v>94</v>
          </cell>
          <cell r="V10">
            <v>96.5</v>
          </cell>
          <cell r="W10">
            <v>19</v>
          </cell>
          <cell r="X10">
            <v>85</v>
          </cell>
          <cell r="Y10">
            <v>91.15</v>
          </cell>
          <cell r="Z10">
            <v>93</v>
          </cell>
          <cell r="AA10">
            <v>21</v>
          </cell>
          <cell r="AB10">
            <v>80</v>
          </cell>
          <cell r="AC10">
            <v>86</v>
          </cell>
          <cell r="AD10">
            <v>91.474999999999994</v>
          </cell>
          <cell r="AE10">
            <v>28</v>
          </cell>
          <cell r="AF10">
            <v>66</v>
          </cell>
          <cell r="AG10">
            <v>92</v>
          </cell>
          <cell r="AH10">
            <v>94</v>
          </cell>
          <cell r="AI10">
            <v>16</v>
          </cell>
          <cell r="AJ10">
            <v>92</v>
          </cell>
          <cell r="AK10">
            <v>94</v>
          </cell>
          <cell r="AL10">
            <v>96.95</v>
          </cell>
          <cell r="AM10">
            <v>9</v>
          </cell>
          <cell r="AN10">
            <v>85</v>
          </cell>
          <cell r="AO10">
            <v>90.5</v>
          </cell>
          <cell r="AP10">
            <v>95</v>
          </cell>
          <cell r="AQ10">
            <v>28</v>
          </cell>
          <cell r="AR10" t="str">
            <v>NM</v>
          </cell>
          <cell r="AS10">
            <v>80</v>
          </cell>
          <cell r="AT10" t="str">
            <v>NM</v>
          </cell>
          <cell r="AU10">
            <v>5</v>
          </cell>
          <cell r="AZ10">
            <v>75</v>
          </cell>
          <cell r="BA10">
            <v>92</v>
          </cell>
          <cell r="BB10">
            <v>97</v>
          </cell>
          <cell r="BC10">
            <v>57</v>
          </cell>
          <cell r="BD10">
            <v>78</v>
          </cell>
          <cell r="BE10">
            <v>83</v>
          </cell>
          <cell r="BF10">
            <v>90.75</v>
          </cell>
          <cell r="BG10">
            <v>16</v>
          </cell>
          <cell r="BH10">
            <v>87</v>
          </cell>
          <cell r="BI10">
            <v>92</v>
          </cell>
          <cell r="BJ10">
            <v>95</v>
          </cell>
          <cell r="BK10">
            <v>46</v>
          </cell>
          <cell r="BL10">
            <v>88</v>
          </cell>
          <cell r="BM10">
            <v>91.5</v>
          </cell>
          <cell r="BN10">
            <v>93</v>
          </cell>
          <cell r="BO10">
            <v>24</v>
          </cell>
          <cell r="BP10">
            <v>91</v>
          </cell>
          <cell r="BQ10">
            <v>93</v>
          </cell>
          <cell r="BR10">
            <v>94</v>
          </cell>
          <cell r="BS10">
            <v>17</v>
          </cell>
          <cell r="BT10">
            <v>91</v>
          </cell>
          <cell r="BU10">
            <v>92</v>
          </cell>
          <cell r="BV10">
            <v>94</v>
          </cell>
          <cell r="BW10">
            <v>29</v>
          </cell>
        </row>
        <row r="11">
          <cell r="A11">
            <v>7410</v>
          </cell>
          <cell r="B11" t="str">
            <v>Customer shipment to delivery cycle time (in days)</v>
          </cell>
          <cell r="C11" t="str">
            <v>Logistics</v>
          </cell>
          <cell r="D11">
            <v>3.875</v>
          </cell>
          <cell r="E11">
            <v>1.8053999999999999</v>
          </cell>
          <cell r="F11">
            <v>0.5</v>
          </cell>
          <cell r="G11">
            <v>233</v>
          </cell>
          <cell r="H11">
            <v>2.0832999999999999</v>
          </cell>
          <cell r="I11">
            <v>1.8053999999999999</v>
          </cell>
          <cell r="J11">
            <v>0.25</v>
          </cell>
          <cell r="K11">
            <v>13</v>
          </cell>
          <cell r="L11">
            <v>5.3334000000000001</v>
          </cell>
          <cell r="M11">
            <v>2.1457999999999999</v>
          </cell>
          <cell r="N11">
            <v>0.61460000000000004</v>
          </cell>
          <cell r="O11">
            <v>12</v>
          </cell>
          <cell r="P11">
            <v>2.1667000000000001</v>
          </cell>
          <cell r="Q11">
            <v>0.58330000000000004</v>
          </cell>
          <cell r="R11">
            <v>0.16669999999999999</v>
          </cell>
          <cell r="S11">
            <v>43</v>
          </cell>
          <cell r="T11">
            <v>4.5833000000000004</v>
          </cell>
          <cell r="U11">
            <v>1.5</v>
          </cell>
          <cell r="V11">
            <v>1.3332999999999999</v>
          </cell>
          <cell r="W11">
            <v>9</v>
          </cell>
          <cell r="X11">
            <v>4.3026999999999997</v>
          </cell>
          <cell r="Y11">
            <v>2.7082999999999999</v>
          </cell>
          <cell r="Z11">
            <v>1.1625000000000001</v>
          </cell>
          <cell r="AA11">
            <v>35</v>
          </cell>
          <cell r="AB11">
            <v>5.5416999999999996</v>
          </cell>
          <cell r="AC11">
            <v>2.6457999999999999</v>
          </cell>
          <cell r="AD11">
            <v>1.9854000000000001</v>
          </cell>
          <cell r="AE11">
            <v>51</v>
          </cell>
          <cell r="AF11">
            <v>2.125</v>
          </cell>
          <cell r="AG11">
            <v>0.29170000000000001</v>
          </cell>
          <cell r="AH11">
            <v>0.1792</v>
          </cell>
          <cell r="AI11">
            <v>17</v>
          </cell>
          <cell r="AJ11">
            <v>2.1459000000000001</v>
          </cell>
          <cell r="AK11">
            <v>1.5</v>
          </cell>
          <cell r="AL11">
            <v>0.625</v>
          </cell>
          <cell r="AM11">
            <v>11</v>
          </cell>
          <cell r="AN11">
            <v>2.375</v>
          </cell>
          <cell r="AO11">
            <v>1.0625</v>
          </cell>
          <cell r="AP11">
            <v>0.4219</v>
          </cell>
          <cell r="AQ11">
            <v>28</v>
          </cell>
          <cell r="AR11">
            <v>1.4792000000000001</v>
          </cell>
          <cell r="AS11">
            <v>0.70830000000000004</v>
          </cell>
          <cell r="AT11">
            <v>0.51039999999999996</v>
          </cell>
          <cell r="AU11">
            <v>7</v>
          </cell>
          <cell r="AZ11">
            <v>4.6666999999999996</v>
          </cell>
          <cell r="BA11">
            <v>2.125</v>
          </cell>
          <cell r="BB11">
            <v>1</v>
          </cell>
          <cell r="BC11">
            <v>89</v>
          </cell>
          <cell r="BD11">
            <v>4.1558000000000002</v>
          </cell>
          <cell r="BE11">
            <v>2</v>
          </cell>
          <cell r="BF11">
            <v>1.8332999999999999</v>
          </cell>
          <cell r="BG11">
            <v>21</v>
          </cell>
          <cell r="BH11">
            <v>2.6457999999999999</v>
          </cell>
          <cell r="BI11">
            <v>1.5</v>
          </cell>
          <cell r="BJ11">
            <v>0.33329999999999999</v>
          </cell>
          <cell r="BK11">
            <v>49</v>
          </cell>
          <cell r="BL11">
            <v>2.9166750000000001</v>
          </cell>
          <cell r="BM11">
            <v>1.2082999999999999</v>
          </cell>
          <cell r="BN11">
            <v>0.33329999999999999</v>
          </cell>
          <cell r="BO11">
            <v>22</v>
          </cell>
          <cell r="BP11">
            <v>1.8854250000000001</v>
          </cell>
          <cell r="BQ11">
            <v>0.47914999999999996</v>
          </cell>
          <cell r="BR11">
            <v>0.25</v>
          </cell>
          <cell r="BS11">
            <v>16</v>
          </cell>
          <cell r="BT11">
            <v>2.0416499999999997</v>
          </cell>
          <cell r="BU11">
            <v>0.75</v>
          </cell>
          <cell r="BV11">
            <v>0.29164999999999996</v>
          </cell>
          <cell r="BW11">
            <v>31</v>
          </cell>
        </row>
        <row r="12">
          <cell r="A12">
            <v>7431</v>
          </cell>
          <cell r="B12" t="str">
            <v>Total logistics cost as a percentage of sales</v>
          </cell>
          <cell r="C12" t="str">
            <v>Logistics</v>
          </cell>
          <cell r="D12">
            <v>11</v>
          </cell>
          <cell r="E12">
            <v>6.96</v>
          </cell>
          <cell r="F12">
            <v>4</v>
          </cell>
          <cell r="G12">
            <v>50</v>
          </cell>
          <cell r="L12" t="str">
            <v>NM</v>
          </cell>
          <cell r="M12">
            <v>2.5</v>
          </cell>
          <cell r="N12" t="str">
            <v>NM</v>
          </cell>
          <cell r="O12">
            <v>5</v>
          </cell>
          <cell r="P12">
            <v>11</v>
          </cell>
          <cell r="Q12">
            <v>9</v>
          </cell>
          <cell r="R12">
            <v>7.65</v>
          </cell>
          <cell r="S12">
            <v>11</v>
          </cell>
          <cell r="T12" t="str">
            <v>NM</v>
          </cell>
          <cell r="U12">
            <v>62</v>
          </cell>
          <cell r="V12" t="str">
            <v>NM</v>
          </cell>
          <cell r="W12">
            <v>5</v>
          </cell>
          <cell r="X12" t="str">
            <v>NM</v>
          </cell>
          <cell r="Y12">
            <v>5</v>
          </cell>
          <cell r="Z12" t="str">
            <v>NM</v>
          </cell>
          <cell r="AA12">
            <v>5</v>
          </cell>
          <cell r="AB12">
            <v>8.6999999999999993</v>
          </cell>
          <cell r="AC12">
            <v>5</v>
          </cell>
          <cell r="AD12">
            <v>4</v>
          </cell>
          <cell r="AE12">
            <v>8</v>
          </cell>
          <cell r="AF12">
            <v>31.596</v>
          </cell>
          <cell r="AG12">
            <v>15.2194</v>
          </cell>
          <cell r="AH12">
            <v>6.2060000000000004</v>
          </cell>
          <cell r="AI12">
            <v>22</v>
          </cell>
          <cell r="AJ12">
            <v>10.5</v>
          </cell>
          <cell r="AK12">
            <v>3</v>
          </cell>
          <cell r="AL12">
            <v>2</v>
          </cell>
          <cell r="AM12">
            <v>5</v>
          </cell>
          <cell r="BH12">
            <v>8.25</v>
          </cell>
          <cell r="BI12">
            <v>4.5</v>
          </cell>
          <cell r="BJ12">
            <v>4</v>
          </cell>
          <cell r="BK12">
            <v>10</v>
          </cell>
          <cell r="BL12">
            <v>11.25</v>
          </cell>
          <cell r="BM12">
            <v>9</v>
          </cell>
          <cell r="BN12">
            <v>7.6999999999999993</v>
          </cell>
          <cell r="BO12">
            <v>8</v>
          </cell>
          <cell r="BP12">
            <v>11.25</v>
          </cell>
          <cell r="BQ12">
            <v>7.15</v>
          </cell>
          <cell r="BR12">
            <v>5.75</v>
          </cell>
          <cell r="BS12">
            <v>12</v>
          </cell>
          <cell r="BT12">
            <v>10.5</v>
          </cell>
          <cell r="BU12">
            <v>7</v>
          </cell>
          <cell r="BV12">
            <v>4</v>
          </cell>
          <cell r="BW12">
            <v>14</v>
          </cell>
        </row>
        <row r="13">
          <cell r="A13">
            <v>7334</v>
          </cell>
          <cell r="B13" t="str">
            <v>Number of FTEs for the supply chain planning function per $1 billion revenue</v>
          </cell>
          <cell r="C13" t="str">
            <v>Supply Chain Planning</v>
          </cell>
          <cell r="D13">
            <v>38.626399999999997</v>
          </cell>
          <cell r="E13">
            <v>17.698799999999999</v>
          </cell>
          <cell r="F13">
            <v>6.8960999999999997</v>
          </cell>
          <cell r="G13">
            <v>178</v>
          </cell>
          <cell r="H13">
            <v>20.157399999999999</v>
          </cell>
          <cell r="I13">
            <v>11.777799999999999</v>
          </cell>
          <cell r="J13">
            <v>5.4690000000000003</v>
          </cell>
          <cell r="K13">
            <v>9</v>
          </cell>
          <cell r="L13">
            <v>132.20779999999999</v>
          </cell>
          <cell r="M13">
            <v>43.852899999999998</v>
          </cell>
          <cell r="N13">
            <v>15.6958</v>
          </cell>
          <cell r="O13">
            <v>10</v>
          </cell>
          <cell r="P13">
            <v>32.586399999999998</v>
          </cell>
          <cell r="Q13">
            <v>13.586499999999999</v>
          </cell>
          <cell r="R13">
            <v>5.1466000000000003</v>
          </cell>
          <cell r="S13">
            <v>31</v>
          </cell>
          <cell r="X13">
            <v>52.455800000000004</v>
          </cell>
          <cell r="Y13">
            <v>25</v>
          </cell>
          <cell r="Z13">
            <v>10.2347</v>
          </cell>
          <cell r="AA13">
            <v>23</v>
          </cell>
          <cell r="AB13">
            <v>50.618699999999997</v>
          </cell>
          <cell r="AC13">
            <v>33.430900000000001</v>
          </cell>
          <cell r="AD13">
            <v>9.9672000000000001</v>
          </cell>
          <cell r="AE13">
            <v>27</v>
          </cell>
          <cell r="AF13">
            <v>85.087500000000006</v>
          </cell>
          <cell r="AG13">
            <v>46.911099999999998</v>
          </cell>
          <cell r="AH13">
            <v>12.2012</v>
          </cell>
          <cell r="AI13">
            <v>27</v>
          </cell>
          <cell r="AJ13">
            <v>33.448300000000003</v>
          </cell>
          <cell r="AK13">
            <v>27.501999999999999</v>
          </cell>
          <cell r="AL13">
            <v>14.8575</v>
          </cell>
          <cell r="AM13">
            <v>13</v>
          </cell>
          <cell r="AN13">
            <v>26.1555</v>
          </cell>
          <cell r="AO13">
            <v>13.6059</v>
          </cell>
          <cell r="AP13">
            <v>8.8094999999999999</v>
          </cell>
          <cell r="AQ13">
            <v>22</v>
          </cell>
          <cell r="AR13">
            <v>26.1692</v>
          </cell>
          <cell r="AS13">
            <v>18.6797</v>
          </cell>
          <cell r="AT13">
            <v>7.7859999999999996</v>
          </cell>
          <cell r="AU13">
            <v>10</v>
          </cell>
          <cell r="AZ13">
            <v>104.166675</v>
          </cell>
          <cell r="BA13">
            <v>31.688099999999999</v>
          </cell>
          <cell r="BB13">
            <v>14.295375</v>
          </cell>
          <cell r="BC13">
            <v>72</v>
          </cell>
          <cell r="BD13">
            <v>39.872399999999999</v>
          </cell>
          <cell r="BE13">
            <v>23.510999999999999</v>
          </cell>
          <cell r="BF13">
            <v>11.1778</v>
          </cell>
          <cell r="BG13">
            <v>17</v>
          </cell>
          <cell r="BH13">
            <v>31.140650000000001</v>
          </cell>
          <cell r="BI13">
            <v>13.863899999999999</v>
          </cell>
          <cell r="BJ13">
            <v>6.6515499999999994</v>
          </cell>
          <cell r="BK13">
            <v>44</v>
          </cell>
          <cell r="BL13">
            <v>27.654924999999999</v>
          </cell>
          <cell r="BM13">
            <v>9.2751000000000001</v>
          </cell>
          <cell r="BN13">
            <v>5.1231749999999998</v>
          </cell>
          <cell r="BO13">
            <v>14</v>
          </cell>
          <cell r="BP13">
            <v>17.5579</v>
          </cell>
          <cell r="BQ13">
            <v>9.9573</v>
          </cell>
          <cell r="BR13">
            <v>6.0193000000000003</v>
          </cell>
          <cell r="BS13">
            <v>17</v>
          </cell>
          <cell r="BT13">
            <v>9.8779500000000002</v>
          </cell>
          <cell r="BU13">
            <v>6.5899000000000001</v>
          </cell>
          <cell r="BV13">
            <v>3.3583499999999997</v>
          </cell>
          <cell r="BW13">
            <v>14</v>
          </cell>
        </row>
        <row r="14">
          <cell r="A14">
            <v>7340</v>
          </cell>
          <cell r="B14" t="str">
            <v>Supply chain management costs per $1,000 revenue</v>
          </cell>
          <cell r="C14" t="str">
            <v>Supply Chain Planning</v>
          </cell>
          <cell r="D14">
            <v>117.67740000000001</v>
          </cell>
          <cell r="E14">
            <v>60</v>
          </cell>
          <cell r="F14">
            <v>13.9651</v>
          </cell>
          <cell r="G14">
            <v>260</v>
          </cell>
          <cell r="H14">
            <v>32.312899999999999</v>
          </cell>
          <cell r="I14">
            <v>6.5387000000000004</v>
          </cell>
          <cell r="J14">
            <v>2.3260999999999998</v>
          </cell>
          <cell r="K14">
            <v>8</v>
          </cell>
          <cell r="L14">
            <v>100.5273</v>
          </cell>
          <cell r="M14">
            <v>63.434199999999997</v>
          </cell>
          <cell r="N14">
            <v>27.857099999999999</v>
          </cell>
          <cell r="O14">
            <v>13</v>
          </cell>
          <cell r="P14">
            <v>115.38460000000001</v>
          </cell>
          <cell r="Q14">
            <v>81.316400000000002</v>
          </cell>
          <cell r="R14">
            <v>20.7346</v>
          </cell>
          <cell r="S14">
            <v>46</v>
          </cell>
          <cell r="X14">
            <v>117.08320000000001</v>
          </cell>
          <cell r="Y14">
            <v>57.668199999999999</v>
          </cell>
          <cell r="Z14">
            <v>29.5</v>
          </cell>
          <cell r="AA14">
            <v>36</v>
          </cell>
          <cell r="AB14">
            <v>143.0444</v>
          </cell>
          <cell r="AC14">
            <v>63.5351</v>
          </cell>
          <cell r="AD14">
            <v>25.398099999999999</v>
          </cell>
          <cell r="AE14">
            <v>63</v>
          </cell>
          <cell r="AF14">
            <v>3.4138000000000002</v>
          </cell>
          <cell r="AG14">
            <v>12</v>
          </cell>
          <cell r="AH14">
            <v>13.85</v>
          </cell>
          <cell r="AI14">
            <v>14</v>
          </cell>
          <cell r="AJ14">
            <v>70.629300000000001</v>
          </cell>
          <cell r="AK14">
            <v>39.957999999999998</v>
          </cell>
          <cell r="AL14">
            <v>16.303899999999999</v>
          </cell>
          <cell r="AM14">
            <v>8</v>
          </cell>
          <cell r="AN14">
            <v>101.0972</v>
          </cell>
          <cell r="AO14">
            <v>63.492100000000001</v>
          </cell>
          <cell r="AP14">
            <v>24.598400000000002</v>
          </cell>
          <cell r="AQ14">
            <v>31</v>
          </cell>
          <cell r="AR14">
            <v>220.25659999999999</v>
          </cell>
          <cell r="AS14">
            <v>66.666700000000006</v>
          </cell>
          <cell r="AT14">
            <v>3.0099</v>
          </cell>
          <cell r="AU14">
            <v>15</v>
          </cell>
          <cell r="AZ14">
            <v>131.56150000000002</v>
          </cell>
          <cell r="BA14">
            <v>76.998199999999997</v>
          </cell>
          <cell r="BB14">
            <v>35.222774999999999</v>
          </cell>
          <cell r="BC14">
            <v>146</v>
          </cell>
          <cell r="BD14">
            <v>143.12202500000001</v>
          </cell>
          <cell r="BE14">
            <v>110.10939999999999</v>
          </cell>
          <cell r="BF14">
            <v>76.212824999999995</v>
          </cell>
          <cell r="BG14">
            <v>24</v>
          </cell>
          <cell r="BH14">
            <v>80</v>
          </cell>
          <cell r="BI14">
            <v>47</v>
          </cell>
          <cell r="BJ14">
            <v>5.4746000000000006</v>
          </cell>
          <cell r="BK14">
            <v>43</v>
          </cell>
          <cell r="BL14">
            <v>35.938375000000001</v>
          </cell>
          <cell r="BM14">
            <v>6.1645000000000003</v>
          </cell>
          <cell r="BN14">
            <v>1.7384499999999998</v>
          </cell>
          <cell r="BO14">
            <v>22</v>
          </cell>
          <cell r="BP14">
            <v>23.584575000000001</v>
          </cell>
          <cell r="BQ14">
            <v>3.0217499999999999</v>
          </cell>
          <cell r="BR14">
            <v>1.072525</v>
          </cell>
          <cell r="BS14">
            <v>14</v>
          </cell>
          <cell r="BT14">
            <v>7.1</v>
          </cell>
          <cell r="BU14">
            <v>1.8778999999999999</v>
          </cell>
          <cell r="BV14">
            <v>0.80500000000000005</v>
          </cell>
          <cell r="BW14">
            <v>13</v>
          </cell>
        </row>
        <row r="15">
          <cell r="A15">
            <v>7346</v>
          </cell>
          <cell r="B15" t="str">
            <v>Raw material inventory turns</v>
          </cell>
          <cell r="C15" t="str">
            <v>Supply Chain Planning</v>
          </cell>
          <cell r="D15">
            <v>5.5</v>
          </cell>
          <cell r="E15">
            <v>10.199999999999999</v>
          </cell>
          <cell r="F15">
            <v>17</v>
          </cell>
          <cell r="G15">
            <v>161</v>
          </cell>
          <cell r="H15">
            <v>6.7975000000000003</v>
          </cell>
          <cell r="I15">
            <v>8.1</v>
          </cell>
          <cell r="J15">
            <v>12.65</v>
          </cell>
          <cell r="K15">
            <v>16</v>
          </cell>
          <cell r="L15">
            <v>14.175000000000001</v>
          </cell>
          <cell r="M15">
            <v>15.5</v>
          </cell>
          <cell r="N15">
            <v>17.25</v>
          </cell>
          <cell r="O15">
            <v>16</v>
          </cell>
          <cell r="P15">
            <v>6.5</v>
          </cell>
          <cell r="Q15">
            <v>14.5</v>
          </cell>
          <cell r="R15">
            <v>25.324999999999999</v>
          </cell>
          <cell r="S15">
            <v>26</v>
          </cell>
          <cell r="X15">
            <v>4</v>
          </cell>
          <cell r="Y15">
            <v>5.4</v>
          </cell>
          <cell r="Z15">
            <v>10.775</v>
          </cell>
          <cell r="AA15">
            <v>18</v>
          </cell>
          <cell r="AB15">
            <v>6.7975000000000003</v>
          </cell>
          <cell r="AC15">
            <v>11.5</v>
          </cell>
          <cell r="AD15">
            <v>19.274999999999999</v>
          </cell>
          <cell r="AE15">
            <v>34</v>
          </cell>
          <cell r="AN15">
            <v>7.0149999999999997</v>
          </cell>
          <cell r="AO15">
            <v>18</v>
          </cell>
          <cell r="AP15">
            <v>23</v>
          </cell>
          <cell r="AQ15">
            <v>11</v>
          </cell>
          <cell r="AR15">
            <v>6.1150000000000002</v>
          </cell>
          <cell r="AS15">
            <v>9</v>
          </cell>
          <cell r="AT15">
            <v>12</v>
          </cell>
          <cell r="AU15">
            <v>11</v>
          </cell>
          <cell r="AZ15">
            <v>4.375</v>
          </cell>
          <cell r="BA15">
            <v>6.55</v>
          </cell>
          <cell r="BB15">
            <v>12</v>
          </cell>
          <cell r="BC15">
            <v>48</v>
          </cell>
          <cell r="BD15">
            <v>2</v>
          </cell>
          <cell r="BE15">
            <v>3.1</v>
          </cell>
          <cell r="BF15">
            <v>10.050000000000001</v>
          </cell>
          <cell r="BG15">
            <v>10</v>
          </cell>
          <cell r="BH15">
            <v>3.75</v>
          </cell>
          <cell r="BI15">
            <v>7.6</v>
          </cell>
          <cell r="BJ15">
            <v>11.1</v>
          </cell>
          <cell r="BK15">
            <v>35</v>
          </cell>
          <cell r="BL15">
            <v>9</v>
          </cell>
          <cell r="BM15">
            <v>12</v>
          </cell>
          <cell r="BN15">
            <v>19</v>
          </cell>
          <cell r="BO15">
            <v>17</v>
          </cell>
          <cell r="BP15">
            <v>10.25</v>
          </cell>
          <cell r="BQ15">
            <v>15.5</v>
          </cell>
          <cell r="BR15">
            <v>21.325000000000003</v>
          </cell>
          <cell r="BS15">
            <v>20</v>
          </cell>
          <cell r="BT15">
            <v>12.2</v>
          </cell>
          <cell r="BU15">
            <v>15</v>
          </cell>
          <cell r="BV15">
            <v>18.375</v>
          </cell>
          <cell r="BW15">
            <v>26</v>
          </cell>
        </row>
        <row r="16">
          <cell r="A16">
            <v>7303</v>
          </cell>
          <cell r="B16" t="str">
            <v>Warranty costs (repair and replacement) as a percentage of sales</v>
          </cell>
          <cell r="C16" t="str">
            <v>Manufacturing</v>
          </cell>
          <cell r="D16">
            <v>2</v>
          </cell>
          <cell r="E16">
            <v>0.72499999999999998</v>
          </cell>
          <cell r="F16">
            <v>0.1</v>
          </cell>
          <cell r="G16">
            <v>160</v>
          </cell>
          <cell r="H16">
            <v>2.95</v>
          </cell>
          <cell r="I16">
            <v>1.75</v>
          </cell>
          <cell r="J16">
            <v>1.125</v>
          </cell>
          <cell r="K16">
            <v>8</v>
          </cell>
          <cell r="L16">
            <v>3.25</v>
          </cell>
          <cell r="M16">
            <v>0.76</v>
          </cell>
          <cell r="N16">
            <v>0.1</v>
          </cell>
          <cell r="O16">
            <v>16</v>
          </cell>
          <cell r="P16">
            <v>1</v>
          </cell>
          <cell r="Q16">
            <v>0.33</v>
          </cell>
          <cell r="R16">
            <v>0</v>
          </cell>
          <cell r="S16">
            <v>21</v>
          </cell>
          <cell r="X16">
            <v>2</v>
          </cell>
          <cell r="Y16">
            <v>1</v>
          </cell>
          <cell r="Z16">
            <v>0.3</v>
          </cell>
          <cell r="AA16">
            <v>29</v>
          </cell>
          <cell r="AB16">
            <v>2</v>
          </cell>
          <cell r="AC16">
            <v>0.6</v>
          </cell>
          <cell r="AD16">
            <v>0.17</v>
          </cell>
          <cell r="AE16">
            <v>43</v>
          </cell>
          <cell r="AF16">
            <v>1</v>
          </cell>
          <cell r="AG16">
            <v>0.01</v>
          </cell>
          <cell r="AH16">
            <v>0</v>
          </cell>
          <cell r="AI16">
            <v>13</v>
          </cell>
          <cell r="AJ16">
            <v>1.9750000000000001</v>
          </cell>
          <cell r="AK16">
            <v>1.25</v>
          </cell>
          <cell r="AL16">
            <v>1</v>
          </cell>
          <cell r="AM16">
            <v>14</v>
          </cell>
          <cell r="AN16">
            <v>1.375</v>
          </cell>
          <cell r="AO16">
            <v>0.875</v>
          </cell>
          <cell r="AP16">
            <v>0.41749999999999998</v>
          </cell>
          <cell r="AQ16">
            <v>10</v>
          </cell>
          <cell r="AZ16">
            <v>1</v>
          </cell>
          <cell r="BA16">
            <v>0.48</v>
          </cell>
          <cell r="BB16">
            <v>0.1</v>
          </cell>
          <cell r="BC16">
            <v>70</v>
          </cell>
          <cell r="BD16">
            <v>2.3249999999999997</v>
          </cell>
          <cell r="BE16">
            <v>1.25</v>
          </cell>
          <cell r="BF16">
            <v>0.17500000000000002</v>
          </cell>
          <cell r="BG16">
            <v>12</v>
          </cell>
          <cell r="BH16">
            <v>2.3000000000000003</v>
          </cell>
          <cell r="BI16">
            <v>1</v>
          </cell>
          <cell r="BJ16">
            <v>0</v>
          </cell>
          <cell r="BK16">
            <v>32</v>
          </cell>
          <cell r="BL16">
            <v>2</v>
          </cell>
          <cell r="BM16">
            <v>1</v>
          </cell>
          <cell r="BN16">
            <v>0.01</v>
          </cell>
          <cell r="BO16">
            <v>9</v>
          </cell>
          <cell r="BP16">
            <v>2</v>
          </cell>
          <cell r="BQ16">
            <v>1</v>
          </cell>
          <cell r="BR16">
            <v>0.5</v>
          </cell>
          <cell r="BS16">
            <v>13</v>
          </cell>
          <cell r="BT16">
            <v>2</v>
          </cell>
          <cell r="BU16">
            <v>2</v>
          </cell>
          <cell r="BV16">
            <v>1</v>
          </cell>
          <cell r="BW16">
            <v>15</v>
          </cell>
        </row>
        <row r="17">
          <cell r="A17">
            <v>7304</v>
          </cell>
          <cell r="B17" t="str">
            <v>Scrap and rework costs as a percentage of sales</v>
          </cell>
          <cell r="C17" t="str">
            <v>Manufacturing</v>
          </cell>
          <cell r="D17">
            <v>2</v>
          </cell>
          <cell r="E17">
            <v>1</v>
          </cell>
          <cell r="F17">
            <v>0.27500000000000002</v>
          </cell>
          <cell r="G17">
            <v>175</v>
          </cell>
          <cell r="H17">
            <v>3.11</v>
          </cell>
          <cell r="I17">
            <v>2</v>
          </cell>
          <cell r="J17">
            <v>1.51</v>
          </cell>
          <cell r="K17">
            <v>11</v>
          </cell>
          <cell r="L17">
            <v>3</v>
          </cell>
          <cell r="M17">
            <v>3</v>
          </cell>
          <cell r="N17">
            <v>2</v>
          </cell>
          <cell r="O17">
            <v>15</v>
          </cell>
          <cell r="P17">
            <v>1.35</v>
          </cell>
          <cell r="Q17">
            <v>1</v>
          </cell>
          <cell r="R17">
            <v>0.32500000000000001</v>
          </cell>
          <cell r="S17">
            <v>27</v>
          </cell>
          <cell r="X17">
            <v>1.2</v>
          </cell>
          <cell r="Y17">
            <v>0.8</v>
          </cell>
          <cell r="Z17">
            <v>0.16</v>
          </cell>
          <cell r="AA17">
            <v>29</v>
          </cell>
          <cell r="AB17">
            <v>2</v>
          </cell>
          <cell r="AC17">
            <v>0.9</v>
          </cell>
          <cell r="AD17">
            <v>0.1225</v>
          </cell>
          <cell r="AE17">
            <v>44</v>
          </cell>
          <cell r="AF17">
            <v>1</v>
          </cell>
          <cell r="AG17">
            <v>1</v>
          </cell>
          <cell r="AH17">
            <v>0.52500000000000002</v>
          </cell>
          <cell r="AI17">
            <v>14</v>
          </cell>
          <cell r="AJ17">
            <v>2</v>
          </cell>
          <cell r="AK17">
            <v>1.95</v>
          </cell>
          <cell r="AL17">
            <v>1</v>
          </cell>
          <cell r="AM17">
            <v>20</v>
          </cell>
          <cell r="AN17">
            <v>2.4750000000000001</v>
          </cell>
          <cell r="AO17">
            <v>1.9450000000000001</v>
          </cell>
          <cell r="AP17">
            <v>0.75</v>
          </cell>
          <cell r="AQ17">
            <v>10</v>
          </cell>
          <cell r="AZ17">
            <v>2.3149999999999999</v>
          </cell>
          <cell r="BA17">
            <v>1</v>
          </cell>
          <cell r="BB17">
            <v>0.19750000000000001</v>
          </cell>
          <cell r="BC17">
            <v>80</v>
          </cell>
          <cell r="BD17">
            <v>1.875</v>
          </cell>
          <cell r="BE17">
            <v>1</v>
          </cell>
          <cell r="BF17">
            <v>0.27500000000000002</v>
          </cell>
          <cell r="BG17">
            <v>14</v>
          </cell>
          <cell r="BH17">
            <v>1.6</v>
          </cell>
          <cell r="BI17">
            <v>1</v>
          </cell>
          <cell r="BJ17">
            <v>0.5</v>
          </cell>
          <cell r="BK17">
            <v>29</v>
          </cell>
          <cell r="BL17">
            <v>2</v>
          </cell>
          <cell r="BM17">
            <v>2</v>
          </cell>
          <cell r="BN17">
            <v>0.69599999999999995</v>
          </cell>
          <cell r="BO17">
            <v>9</v>
          </cell>
          <cell r="BP17">
            <v>2</v>
          </cell>
          <cell r="BQ17">
            <v>1</v>
          </cell>
          <cell r="BR17">
            <v>0.23749999999999999</v>
          </cell>
          <cell r="BS17">
            <v>16</v>
          </cell>
          <cell r="BT17">
            <v>2</v>
          </cell>
          <cell r="BU17">
            <v>1</v>
          </cell>
          <cell r="BV17">
            <v>1</v>
          </cell>
          <cell r="BW17">
            <v>16</v>
          </cell>
        </row>
        <row r="18">
          <cell r="A18">
            <v>7318</v>
          </cell>
          <cell r="B18" t="str">
            <v>Inventory obsolescence as a percentage of total inventory</v>
          </cell>
          <cell r="C18" t="str">
            <v>Manufacturing</v>
          </cell>
          <cell r="D18">
            <v>5</v>
          </cell>
          <cell r="E18">
            <v>2</v>
          </cell>
          <cell r="F18">
            <v>1</v>
          </cell>
          <cell r="G18">
            <v>170</v>
          </cell>
          <cell r="H18">
            <v>3.25</v>
          </cell>
          <cell r="I18">
            <v>2.75</v>
          </cell>
          <cell r="J18">
            <v>1.2250000000000001</v>
          </cell>
          <cell r="K18">
            <v>12</v>
          </cell>
          <cell r="L18">
            <v>6.25</v>
          </cell>
          <cell r="M18">
            <v>1</v>
          </cell>
          <cell r="N18">
            <v>0.8</v>
          </cell>
          <cell r="O18">
            <v>16</v>
          </cell>
          <cell r="P18">
            <v>2.875</v>
          </cell>
          <cell r="Q18">
            <v>1.57</v>
          </cell>
          <cell r="R18">
            <v>0.60250000000000004</v>
          </cell>
          <cell r="S18">
            <v>26</v>
          </cell>
          <cell r="X18">
            <v>7.75</v>
          </cell>
          <cell r="Y18">
            <v>4.5</v>
          </cell>
          <cell r="Z18">
            <v>1</v>
          </cell>
          <cell r="AA18">
            <v>30</v>
          </cell>
          <cell r="AB18">
            <v>3</v>
          </cell>
          <cell r="AC18">
            <v>3</v>
          </cell>
          <cell r="AD18">
            <v>1</v>
          </cell>
          <cell r="AE18">
            <v>35</v>
          </cell>
          <cell r="AF18">
            <v>1.375</v>
          </cell>
          <cell r="AG18">
            <v>1</v>
          </cell>
          <cell r="AH18">
            <v>0.5</v>
          </cell>
          <cell r="AI18">
            <v>15</v>
          </cell>
          <cell r="AJ18">
            <v>4.5</v>
          </cell>
          <cell r="AK18">
            <v>2.5</v>
          </cell>
          <cell r="AL18">
            <v>1.75</v>
          </cell>
          <cell r="AM18">
            <v>19</v>
          </cell>
          <cell r="AN18">
            <v>6.15</v>
          </cell>
          <cell r="AO18">
            <v>4.75</v>
          </cell>
          <cell r="AP18">
            <v>4.3</v>
          </cell>
          <cell r="AQ18">
            <v>10</v>
          </cell>
          <cell r="AZ18">
            <v>5</v>
          </cell>
          <cell r="BA18">
            <v>2.5</v>
          </cell>
          <cell r="BB18">
            <v>1</v>
          </cell>
          <cell r="BC18">
            <v>77</v>
          </cell>
          <cell r="BD18">
            <v>3</v>
          </cell>
          <cell r="BE18">
            <v>2</v>
          </cell>
          <cell r="BF18">
            <v>1</v>
          </cell>
          <cell r="BG18">
            <v>11</v>
          </cell>
          <cell r="BH18">
            <v>5</v>
          </cell>
          <cell r="BI18">
            <v>3</v>
          </cell>
          <cell r="BJ18">
            <v>1.85</v>
          </cell>
          <cell r="BK18">
            <v>34</v>
          </cell>
          <cell r="BL18">
            <v>7.75</v>
          </cell>
          <cell r="BM18">
            <v>3</v>
          </cell>
          <cell r="BN18">
            <v>0.75</v>
          </cell>
          <cell r="BO18">
            <v>8</v>
          </cell>
          <cell r="BP18">
            <v>3</v>
          </cell>
          <cell r="BQ18">
            <v>1.29</v>
          </cell>
          <cell r="BR18">
            <v>1</v>
          </cell>
          <cell r="BS18">
            <v>16</v>
          </cell>
          <cell r="BT18">
            <v>2</v>
          </cell>
          <cell r="BU18">
            <v>1</v>
          </cell>
          <cell r="BV18">
            <v>1</v>
          </cell>
          <cell r="BW18">
            <v>17</v>
          </cell>
        </row>
        <row r="19">
          <cell r="A19">
            <v>7326</v>
          </cell>
          <cell r="B19" t="str">
            <v>Material costs as a percentage of cost of goods sold*</v>
          </cell>
          <cell r="C19" t="str">
            <v>Manufacturing</v>
          </cell>
          <cell r="D19">
            <v>40</v>
          </cell>
          <cell r="E19">
            <v>54.5</v>
          </cell>
          <cell r="F19">
            <v>64.5</v>
          </cell>
          <cell r="G19">
            <v>126</v>
          </cell>
          <cell r="H19">
            <v>36.5</v>
          </cell>
          <cell r="I19">
            <v>45</v>
          </cell>
          <cell r="J19">
            <v>55.5</v>
          </cell>
          <cell r="K19">
            <v>11</v>
          </cell>
          <cell r="L19">
            <v>48.5</v>
          </cell>
          <cell r="M19">
            <v>52</v>
          </cell>
          <cell r="N19">
            <v>54.75</v>
          </cell>
          <cell r="O19">
            <v>6</v>
          </cell>
          <cell r="P19">
            <v>48</v>
          </cell>
          <cell r="Q19">
            <v>58.4</v>
          </cell>
          <cell r="R19">
            <v>71</v>
          </cell>
          <cell r="S19">
            <v>19</v>
          </cell>
          <cell r="X19">
            <v>41</v>
          </cell>
          <cell r="Y19">
            <v>62</v>
          </cell>
          <cell r="Z19">
            <v>75</v>
          </cell>
          <cell r="AA19">
            <v>17</v>
          </cell>
          <cell r="AB19">
            <v>45</v>
          </cell>
          <cell r="AC19">
            <v>55</v>
          </cell>
          <cell r="AD19">
            <v>63</v>
          </cell>
          <cell r="AE19">
            <v>29</v>
          </cell>
          <cell r="AF19">
            <v>29</v>
          </cell>
          <cell r="AG19">
            <v>57</v>
          </cell>
          <cell r="AH19">
            <v>79.010000000000005</v>
          </cell>
          <cell r="AI19">
            <v>15</v>
          </cell>
          <cell r="AJ19">
            <v>36.5</v>
          </cell>
          <cell r="AK19">
            <v>43</v>
          </cell>
          <cell r="AL19">
            <v>57</v>
          </cell>
          <cell r="AM19">
            <v>16</v>
          </cell>
          <cell r="AN19">
            <v>35</v>
          </cell>
          <cell r="AO19">
            <v>40</v>
          </cell>
          <cell r="AP19">
            <v>45</v>
          </cell>
          <cell r="AQ19">
            <v>9</v>
          </cell>
          <cell r="AZ19">
            <v>40</v>
          </cell>
          <cell r="BA19">
            <v>57</v>
          </cell>
          <cell r="BB19">
            <v>70</v>
          </cell>
          <cell r="BC19">
            <v>49</v>
          </cell>
          <cell r="BD19">
            <v>43.25</v>
          </cell>
          <cell r="BE19">
            <v>57.5</v>
          </cell>
          <cell r="BF19">
            <v>66</v>
          </cell>
          <cell r="BG19">
            <v>8</v>
          </cell>
          <cell r="BH19">
            <v>37.75</v>
          </cell>
          <cell r="BI19">
            <v>45.5</v>
          </cell>
          <cell r="BJ19">
            <v>67.5</v>
          </cell>
          <cell r="BK19">
            <v>28</v>
          </cell>
          <cell r="BL19" t="str">
            <v>NM</v>
          </cell>
          <cell r="BM19">
            <v>57</v>
          </cell>
          <cell r="BN19" t="str">
            <v>NM</v>
          </cell>
          <cell r="BO19">
            <v>5</v>
          </cell>
          <cell r="BP19">
            <v>33.25</v>
          </cell>
          <cell r="BQ19">
            <v>43.5</v>
          </cell>
          <cell r="BR19">
            <v>55.75</v>
          </cell>
          <cell r="BS19">
            <v>14</v>
          </cell>
          <cell r="BT19">
            <v>39.5</v>
          </cell>
          <cell r="BU19">
            <v>46.5</v>
          </cell>
          <cell r="BV19">
            <v>55</v>
          </cell>
          <cell r="BW19">
            <v>16</v>
          </cell>
        </row>
        <row r="20">
          <cell r="A20">
            <v>7446</v>
          </cell>
          <cell r="B20" t="str">
            <v>Percentage of purchase orders approved electronically</v>
          </cell>
          <cell r="C20" t="str">
            <v>Procurement</v>
          </cell>
          <cell r="D20">
            <v>19.899999999999999</v>
          </cell>
          <cell r="E20">
            <v>80</v>
          </cell>
          <cell r="F20">
            <v>100</v>
          </cell>
          <cell r="G20">
            <v>307</v>
          </cell>
          <cell r="H20">
            <v>58.75</v>
          </cell>
          <cell r="I20">
            <v>77.5</v>
          </cell>
          <cell r="J20">
            <v>96</v>
          </cell>
          <cell r="K20">
            <v>20</v>
          </cell>
          <cell r="L20">
            <v>50</v>
          </cell>
          <cell r="M20">
            <v>70</v>
          </cell>
          <cell r="N20">
            <v>90</v>
          </cell>
          <cell r="O20">
            <v>21</v>
          </cell>
          <cell r="P20">
            <v>40</v>
          </cell>
          <cell r="Q20">
            <v>80</v>
          </cell>
          <cell r="R20">
            <v>85</v>
          </cell>
          <cell r="S20">
            <v>33</v>
          </cell>
          <cell r="T20">
            <v>16.815000000000001</v>
          </cell>
          <cell r="U20">
            <v>52.5</v>
          </cell>
          <cell r="V20">
            <v>82.5</v>
          </cell>
          <cell r="W20">
            <v>10</v>
          </cell>
          <cell r="X20">
            <v>20</v>
          </cell>
          <cell r="Y20">
            <v>90</v>
          </cell>
          <cell r="Z20">
            <v>100</v>
          </cell>
          <cell r="AA20">
            <v>33</v>
          </cell>
          <cell r="AB20">
            <v>0</v>
          </cell>
          <cell r="AC20">
            <v>75</v>
          </cell>
          <cell r="AD20">
            <v>100</v>
          </cell>
          <cell r="AE20">
            <v>50</v>
          </cell>
          <cell r="AF20">
            <v>72.5</v>
          </cell>
          <cell r="AG20">
            <v>90</v>
          </cell>
          <cell r="AH20">
            <v>100</v>
          </cell>
          <cell r="AI20">
            <v>23</v>
          </cell>
          <cell r="AJ20">
            <v>40</v>
          </cell>
          <cell r="AK20">
            <v>75</v>
          </cell>
          <cell r="AL20">
            <v>100</v>
          </cell>
          <cell r="AM20">
            <v>13</v>
          </cell>
          <cell r="AN20">
            <v>5</v>
          </cell>
          <cell r="AO20">
            <v>90</v>
          </cell>
          <cell r="AP20">
            <v>100</v>
          </cell>
          <cell r="AQ20">
            <v>23</v>
          </cell>
          <cell r="AR20">
            <v>10</v>
          </cell>
          <cell r="AS20">
            <v>80</v>
          </cell>
          <cell r="AT20">
            <v>100</v>
          </cell>
          <cell r="AU20">
            <v>29</v>
          </cell>
          <cell r="AV20">
            <v>55.395000000000003</v>
          </cell>
          <cell r="AW20">
            <v>100</v>
          </cell>
          <cell r="AX20">
            <v>100</v>
          </cell>
          <cell r="AY20">
            <v>22</v>
          </cell>
          <cell r="AZ20">
            <v>0</v>
          </cell>
          <cell r="BA20">
            <v>70</v>
          </cell>
          <cell r="BB20">
            <v>100</v>
          </cell>
          <cell r="BC20">
            <v>81</v>
          </cell>
          <cell r="BD20">
            <v>0</v>
          </cell>
          <cell r="BE20">
            <v>40</v>
          </cell>
          <cell r="BF20">
            <v>99.75</v>
          </cell>
          <cell r="BG20">
            <v>26</v>
          </cell>
          <cell r="BH20">
            <v>47.5</v>
          </cell>
          <cell r="BI20">
            <v>80</v>
          </cell>
          <cell r="BJ20">
            <v>100</v>
          </cell>
          <cell r="BK20">
            <v>87</v>
          </cell>
          <cell r="BL20">
            <v>50</v>
          </cell>
          <cell r="BM20">
            <v>99</v>
          </cell>
          <cell r="BN20">
            <v>100</v>
          </cell>
          <cell r="BO20">
            <v>33</v>
          </cell>
          <cell r="BP20">
            <v>70</v>
          </cell>
          <cell r="BQ20">
            <v>80</v>
          </cell>
          <cell r="BR20">
            <v>99.25</v>
          </cell>
          <cell r="BS20">
            <v>24</v>
          </cell>
          <cell r="BT20">
            <v>60</v>
          </cell>
          <cell r="BU20">
            <v>80</v>
          </cell>
          <cell r="BV20">
            <v>87</v>
          </cell>
          <cell r="BW20">
            <v>33</v>
          </cell>
        </row>
        <row r="21">
          <cell r="A21">
            <v>7460</v>
          </cell>
          <cell r="B21" t="str">
            <v>Number of FTEs for the procurement cycle per $1 billion purchases</v>
          </cell>
          <cell r="C21" t="str">
            <v>Procurement</v>
          </cell>
          <cell r="D21">
            <v>191.51740000000001</v>
          </cell>
          <cell r="E21">
            <v>96.363600000000005</v>
          </cell>
          <cell r="F21">
            <v>50.302799999999998</v>
          </cell>
          <cell r="G21">
            <v>229</v>
          </cell>
          <cell r="H21">
            <v>223.23159999999999</v>
          </cell>
          <cell r="I21">
            <v>197.28399999999999</v>
          </cell>
          <cell r="J21">
            <v>161.3092</v>
          </cell>
          <cell r="K21">
            <v>12</v>
          </cell>
          <cell r="L21">
            <v>187.94560000000001</v>
          </cell>
          <cell r="M21">
            <v>65.629400000000004</v>
          </cell>
          <cell r="N21">
            <v>53.966200000000001</v>
          </cell>
          <cell r="O21">
            <v>18</v>
          </cell>
          <cell r="P21">
            <v>116.84780000000001</v>
          </cell>
          <cell r="Q21">
            <v>70.625</v>
          </cell>
          <cell r="R21">
            <v>40.993099999999998</v>
          </cell>
          <cell r="S21">
            <v>29</v>
          </cell>
          <cell r="T21">
            <v>91.608400000000003</v>
          </cell>
          <cell r="U21">
            <v>88.198800000000006</v>
          </cell>
          <cell r="V21">
            <v>19.178100000000001</v>
          </cell>
          <cell r="W21">
            <v>9</v>
          </cell>
          <cell r="X21">
            <v>178.33330000000001</v>
          </cell>
          <cell r="Y21">
            <v>114.58329999999999</v>
          </cell>
          <cell r="Z21">
            <v>76.047899999999998</v>
          </cell>
          <cell r="AA21">
            <v>21</v>
          </cell>
          <cell r="AB21">
            <v>365.36470000000003</v>
          </cell>
          <cell r="AC21">
            <v>179.13910000000001</v>
          </cell>
          <cell r="AD21">
            <v>92.073300000000003</v>
          </cell>
          <cell r="AE21">
            <v>30</v>
          </cell>
          <cell r="AF21">
            <v>181.26320000000001</v>
          </cell>
          <cell r="AG21">
            <v>66.666700000000006</v>
          </cell>
          <cell r="AH21">
            <v>33.867800000000003</v>
          </cell>
          <cell r="AI21">
            <v>21</v>
          </cell>
          <cell r="AJ21">
            <v>165.06450000000001</v>
          </cell>
          <cell r="AK21">
            <v>90.205799999999996</v>
          </cell>
          <cell r="AL21">
            <v>52.4268</v>
          </cell>
          <cell r="AM21">
            <v>10</v>
          </cell>
          <cell r="AN21">
            <v>166.2587</v>
          </cell>
          <cell r="AO21">
            <v>73.4011</v>
          </cell>
          <cell r="AP21">
            <v>40.777900000000002</v>
          </cell>
          <cell r="AQ21">
            <v>18</v>
          </cell>
          <cell r="AR21">
            <v>217.19040000000001</v>
          </cell>
          <cell r="AS21">
            <v>102.3934</v>
          </cell>
          <cell r="AT21">
            <v>51.428600000000003</v>
          </cell>
          <cell r="AU21">
            <v>21</v>
          </cell>
          <cell r="AV21">
            <v>96.191999999999993</v>
          </cell>
          <cell r="AW21">
            <v>60.560699999999997</v>
          </cell>
          <cell r="AX21">
            <v>23.7393</v>
          </cell>
          <cell r="AY21">
            <v>11</v>
          </cell>
          <cell r="AZ21">
            <v>371.50189999999998</v>
          </cell>
          <cell r="BA21">
            <v>210.66569999999999</v>
          </cell>
          <cell r="BB21">
            <v>91.78295</v>
          </cell>
          <cell r="BC21">
            <v>59</v>
          </cell>
          <cell r="BD21">
            <v>189.24585000000002</v>
          </cell>
          <cell r="BE21">
            <v>174.1833</v>
          </cell>
          <cell r="BF21">
            <v>88.760249999999999</v>
          </cell>
          <cell r="BG21">
            <v>23</v>
          </cell>
          <cell r="BH21">
            <v>164.34375</v>
          </cell>
          <cell r="BI21">
            <v>94.875</v>
          </cell>
          <cell r="BJ21">
            <v>48.125</v>
          </cell>
          <cell r="BK21">
            <v>62</v>
          </cell>
          <cell r="BL21">
            <v>100.312</v>
          </cell>
          <cell r="BM21">
            <v>47.917999999999999</v>
          </cell>
          <cell r="BN21">
            <v>20.6023</v>
          </cell>
          <cell r="BO21">
            <v>25</v>
          </cell>
          <cell r="BP21">
            <v>79.481449999999995</v>
          </cell>
          <cell r="BQ21">
            <v>62.737650000000002</v>
          </cell>
          <cell r="BR21">
            <v>26.185425000000002</v>
          </cell>
          <cell r="BS21">
            <v>18</v>
          </cell>
          <cell r="BT21">
            <v>142.0694</v>
          </cell>
          <cell r="BU21">
            <v>71.061199999999999</v>
          </cell>
          <cell r="BV21">
            <v>47.122</v>
          </cell>
          <cell r="BW21">
            <v>30</v>
          </cell>
        </row>
        <row r="22">
          <cell r="A22">
            <v>7468</v>
          </cell>
          <cell r="B22" t="str">
            <v>Indirect materials and services value as a percentage of total annual value of purchases*</v>
          </cell>
          <cell r="C22" t="str">
            <v>Procurement</v>
          </cell>
          <cell r="D22">
            <v>10</v>
          </cell>
          <cell r="E22">
            <v>28</v>
          </cell>
          <cell r="F22">
            <v>55.739899999999999</v>
          </cell>
          <cell r="G22">
            <v>284</v>
          </cell>
          <cell r="H22">
            <v>23.246099999999998</v>
          </cell>
          <cell r="I22">
            <v>46.5</v>
          </cell>
          <cell r="J22">
            <v>55.969700000000003</v>
          </cell>
          <cell r="K22">
            <v>18</v>
          </cell>
          <cell r="L22">
            <v>15.1974</v>
          </cell>
          <cell r="M22">
            <v>24.157699999999998</v>
          </cell>
          <cell r="N22">
            <v>29.75</v>
          </cell>
          <cell r="O22">
            <v>22</v>
          </cell>
          <cell r="P22">
            <v>7.7343000000000002</v>
          </cell>
          <cell r="Q22">
            <v>17.0213</v>
          </cell>
          <cell r="R22">
            <v>38.927300000000002</v>
          </cell>
          <cell r="S22">
            <v>31</v>
          </cell>
          <cell r="T22">
            <v>10.955399999999999</v>
          </cell>
          <cell r="U22">
            <v>14.3087</v>
          </cell>
          <cell r="V22">
            <v>26.952100000000002</v>
          </cell>
          <cell r="W22">
            <v>10</v>
          </cell>
          <cell r="X22">
            <v>10.7639</v>
          </cell>
          <cell r="Y22">
            <v>29.5886</v>
          </cell>
          <cell r="Z22">
            <v>47.008099999999999</v>
          </cell>
          <cell r="AA22">
            <v>30</v>
          </cell>
          <cell r="AB22">
            <v>4.5454999999999997</v>
          </cell>
          <cell r="AC22">
            <v>12.4504</v>
          </cell>
          <cell r="AD22">
            <v>26.666699999999999</v>
          </cell>
          <cell r="AE22">
            <v>45</v>
          </cell>
          <cell r="AF22">
            <v>10.526300000000001</v>
          </cell>
          <cell r="AG22">
            <v>30</v>
          </cell>
          <cell r="AH22">
            <v>79</v>
          </cell>
          <cell r="AI22">
            <v>21</v>
          </cell>
          <cell r="AJ22">
            <v>10.827999999999999</v>
          </cell>
          <cell r="AK22">
            <v>44.666699999999999</v>
          </cell>
          <cell r="AL22">
            <v>58.373399999999997</v>
          </cell>
          <cell r="AM22">
            <v>13</v>
          </cell>
          <cell r="AN22">
            <v>3.4727000000000001</v>
          </cell>
          <cell r="AO22">
            <v>10.0604</v>
          </cell>
          <cell r="AP22">
            <v>41.25</v>
          </cell>
          <cell r="AQ22">
            <v>18</v>
          </cell>
          <cell r="AR22">
            <v>0.19209999999999999</v>
          </cell>
          <cell r="AS22">
            <v>56.393799999999999</v>
          </cell>
          <cell r="AT22">
            <v>89.033799999999999</v>
          </cell>
          <cell r="AU22">
            <v>26</v>
          </cell>
          <cell r="AV22">
            <v>29.651599999999998</v>
          </cell>
          <cell r="AW22">
            <v>40</v>
          </cell>
          <cell r="AX22">
            <v>74.518799999999999</v>
          </cell>
          <cell r="AY22">
            <v>18</v>
          </cell>
          <cell r="AZ22">
            <v>4.4145000000000003</v>
          </cell>
          <cell r="BA22">
            <v>13.333299999999999</v>
          </cell>
          <cell r="BB22">
            <v>40.599449999999997</v>
          </cell>
          <cell r="BC22">
            <v>71</v>
          </cell>
          <cell r="BD22">
            <v>14.407125000000001</v>
          </cell>
          <cell r="BE22">
            <v>29.111899999999999</v>
          </cell>
          <cell r="BF22">
            <v>73.417425000000009</v>
          </cell>
          <cell r="BG22">
            <v>28</v>
          </cell>
          <cell r="BH22">
            <v>9.7986500000000003</v>
          </cell>
          <cell r="BI22">
            <v>30</v>
          </cell>
          <cell r="BJ22">
            <v>59.309049999999999</v>
          </cell>
          <cell r="BK22">
            <v>83</v>
          </cell>
          <cell r="BL22">
            <v>12.630274999999999</v>
          </cell>
          <cell r="BM22">
            <v>32.1051</v>
          </cell>
          <cell r="BN22">
            <v>49.294674999999998</v>
          </cell>
          <cell r="BO22">
            <v>34</v>
          </cell>
          <cell r="BP22">
            <v>16.851199999999999</v>
          </cell>
          <cell r="BQ22">
            <v>30</v>
          </cell>
          <cell r="BR22">
            <v>41.2059</v>
          </cell>
          <cell r="BS22">
            <v>21</v>
          </cell>
          <cell r="BT22">
            <v>11.981375</v>
          </cell>
          <cell r="BU22">
            <v>25.3565</v>
          </cell>
          <cell r="BV22">
            <v>55.5</v>
          </cell>
          <cell r="BW22">
            <v>32</v>
          </cell>
        </row>
        <row r="23">
          <cell r="A23">
            <v>7685</v>
          </cell>
          <cell r="B23" t="str">
            <v>Percentage of new product/service development projects launched on budget</v>
          </cell>
          <cell r="C23" t="str">
            <v>Product Development</v>
          </cell>
          <cell r="D23">
            <v>50</v>
          </cell>
          <cell r="E23">
            <v>70</v>
          </cell>
          <cell r="F23">
            <v>80</v>
          </cell>
          <cell r="G23">
            <v>238</v>
          </cell>
          <cell r="H23">
            <v>55</v>
          </cell>
          <cell r="I23">
            <v>65</v>
          </cell>
          <cell r="J23">
            <v>79</v>
          </cell>
          <cell r="K23">
            <v>26</v>
          </cell>
          <cell r="L23">
            <v>67.5</v>
          </cell>
          <cell r="M23">
            <v>73</v>
          </cell>
          <cell r="N23">
            <v>80</v>
          </cell>
          <cell r="O23">
            <v>28</v>
          </cell>
          <cell r="P23">
            <v>60.75</v>
          </cell>
          <cell r="Q23">
            <v>80</v>
          </cell>
          <cell r="R23">
            <v>87.75</v>
          </cell>
          <cell r="S23">
            <v>44</v>
          </cell>
          <cell r="X23">
            <v>45</v>
          </cell>
          <cell r="Y23">
            <v>70</v>
          </cell>
          <cell r="Z23">
            <v>80</v>
          </cell>
          <cell r="AA23">
            <v>47</v>
          </cell>
          <cell r="AB23">
            <v>50</v>
          </cell>
          <cell r="AC23">
            <v>66</v>
          </cell>
          <cell r="AD23">
            <v>80</v>
          </cell>
          <cell r="AE23">
            <v>33</v>
          </cell>
          <cell r="AF23">
            <v>62</v>
          </cell>
          <cell r="AG23">
            <v>74</v>
          </cell>
          <cell r="AH23">
            <v>79.5</v>
          </cell>
          <cell r="AI23">
            <v>15</v>
          </cell>
          <cell r="AJ23">
            <v>62</v>
          </cell>
          <cell r="AK23">
            <v>71</v>
          </cell>
          <cell r="AL23">
            <v>79</v>
          </cell>
          <cell r="AM23">
            <v>19</v>
          </cell>
          <cell r="AR23">
            <v>50</v>
          </cell>
          <cell r="AS23">
            <v>65</v>
          </cell>
          <cell r="AT23">
            <v>79.5</v>
          </cell>
          <cell r="AU23">
            <v>15</v>
          </cell>
          <cell r="AZ23">
            <v>50</v>
          </cell>
          <cell r="BA23">
            <v>70</v>
          </cell>
          <cell r="BB23">
            <v>85.75</v>
          </cell>
          <cell r="BC23">
            <v>78</v>
          </cell>
          <cell r="BD23">
            <v>25</v>
          </cell>
          <cell r="BE23">
            <v>64</v>
          </cell>
          <cell r="BF23">
            <v>75.5</v>
          </cell>
          <cell r="BG23">
            <v>19</v>
          </cell>
          <cell r="BH23">
            <v>55.75</v>
          </cell>
          <cell r="BI23">
            <v>70</v>
          </cell>
          <cell r="BJ23">
            <v>80</v>
          </cell>
          <cell r="BK23">
            <v>66</v>
          </cell>
          <cell r="BL23">
            <v>63.5</v>
          </cell>
          <cell r="BM23">
            <v>73</v>
          </cell>
          <cell r="BN23">
            <v>81.25</v>
          </cell>
          <cell r="BO23">
            <v>20</v>
          </cell>
          <cell r="BP23">
            <v>70</v>
          </cell>
          <cell r="BQ23">
            <v>76</v>
          </cell>
          <cell r="BR23">
            <v>85</v>
          </cell>
          <cell r="BS23">
            <v>17</v>
          </cell>
          <cell r="BT23">
            <v>64</v>
          </cell>
          <cell r="BU23">
            <v>72</v>
          </cell>
          <cell r="BV23">
            <v>75.25</v>
          </cell>
          <cell r="BW23">
            <v>20</v>
          </cell>
        </row>
        <row r="24">
          <cell r="A24">
            <v>7702</v>
          </cell>
          <cell r="B24" t="str">
            <v>Percentage of sales due to product/services launched in the past year</v>
          </cell>
          <cell r="C24" t="str">
            <v>Product Development</v>
          </cell>
          <cell r="D24">
            <v>6</v>
          </cell>
          <cell r="E24">
            <v>12</v>
          </cell>
          <cell r="F24">
            <v>22</v>
          </cell>
          <cell r="G24">
            <v>263</v>
          </cell>
          <cell r="H24">
            <v>5</v>
          </cell>
          <cell r="I24">
            <v>11</v>
          </cell>
          <cell r="J24">
            <v>18.5</v>
          </cell>
          <cell r="K24">
            <v>27</v>
          </cell>
          <cell r="L24">
            <v>10</v>
          </cell>
          <cell r="M24">
            <v>15</v>
          </cell>
          <cell r="N24">
            <v>20</v>
          </cell>
          <cell r="O24">
            <v>29</v>
          </cell>
          <cell r="P24">
            <v>5</v>
          </cell>
          <cell r="Q24">
            <v>10</v>
          </cell>
          <cell r="R24">
            <v>15.5</v>
          </cell>
          <cell r="S24">
            <v>55</v>
          </cell>
          <cell r="X24">
            <v>10</v>
          </cell>
          <cell r="Y24">
            <v>18</v>
          </cell>
          <cell r="Z24">
            <v>33</v>
          </cell>
          <cell r="AA24">
            <v>53</v>
          </cell>
          <cell r="AB24">
            <v>7.25</v>
          </cell>
          <cell r="AC24">
            <v>15</v>
          </cell>
          <cell r="AD24">
            <v>32.5</v>
          </cell>
          <cell r="AE24">
            <v>36</v>
          </cell>
          <cell r="AF24">
            <v>3.5</v>
          </cell>
          <cell r="AG24">
            <v>6</v>
          </cell>
          <cell r="AH24">
            <v>10</v>
          </cell>
          <cell r="AI24">
            <v>15</v>
          </cell>
          <cell r="AJ24">
            <v>5.25</v>
          </cell>
          <cell r="AK24">
            <v>8</v>
          </cell>
          <cell r="AL24">
            <v>12</v>
          </cell>
          <cell r="AM24">
            <v>22</v>
          </cell>
          <cell r="AR24">
            <v>12</v>
          </cell>
          <cell r="AS24">
            <v>20.5</v>
          </cell>
          <cell r="AT24">
            <v>46.75</v>
          </cell>
          <cell r="AU24">
            <v>14</v>
          </cell>
          <cell r="AZ24">
            <v>6.75</v>
          </cell>
          <cell r="BA24">
            <v>15</v>
          </cell>
          <cell r="BB24">
            <v>25</v>
          </cell>
          <cell r="BC24">
            <v>92</v>
          </cell>
          <cell r="BD24">
            <v>8</v>
          </cell>
          <cell r="BE24">
            <v>11</v>
          </cell>
          <cell r="BF24">
            <v>20</v>
          </cell>
          <cell r="BG24">
            <v>22</v>
          </cell>
          <cell r="BH24">
            <v>6</v>
          </cell>
          <cell r="BI24">
            <v>12</v>
          </cell>
          <cell r="BJ24">
            <v>20</v>
          </cell>
          <cell r="BK24">
            <v>76</v>
          </cell>
          <cell r="BL24">
            <v>9</v>
          </cell>
          <cell r="BM24">
            <v>12</v>
          </cell>
          <cell r="BN24">
            <v>18.5</v>
          </cell>
          <cell r="BO24">
            <v>20</v>
          </cell>
          <cell r="BP24">
            <v>8</v>
          </cell>
          <cell r="BQ24">
            <v>17.5</v>
          </cell>
          <cell r="BR24">
            <v>39.5</v>
          </cell>
          <cell r="BS24">
            <v>18</v>
          </cell>
          <cell r="BT24">
            <v>4.75</v>
          </cell>
          <cell r="BU24">
            <v>8.5</v>
          </cell>
          <cell r="BV24">
            <v>15.75</v>
          </cell>
          <cell r="BW24">
            <v>20</v>
          </cell>
        </row>
        <row r="25">
          <cell r="A25">
            <v>3960</v>
          </cell>
          <cell r="B25" t="str">
            <v>Value of loss due to lack of production capacity/stockouts, as a percentage of revenue</v>
          </cell>
          <cell r="C25" t="str">
            <v>Customer Order Management</v>
          </cell>
          <cell r="D25">
            <v>1.25</v>
          </cell>
          <cell r="E25">
            <v>6.8999999999999999E-3</v>
          </cell>
          <cell r="F25">
            <v>0</v>
          </cell>
          <cell r="G25">
            <v>37</v>
          </cell>
          <cell r="X25" t="str">
            <v>NM</v>
          </cell>
          <cell r="Y25">
            <v>0</v>
          </cell>
          <cell r="Z25" t="str">
            <v>NM</v>
          </cell>
          <cell r="AA25">
            <v>5</v>
          </cell>
          <cell r="AB25">
            <v>0.17780000000000001</v>
          </cell>
          <cell r="AC25">
            <v>0</v>
          </cell>
          <cell r="AD25">
            <v>0</v>
          </cell>
          <cell r="AE25">
            <v>7</v>
          </cell>
          <cell r="AN25">
            <v>2.1901999999999999</v>
          </cell>
          <cell r="AO25">
            <v>0.75</v>
          </cell>
          <cell r="AP25">
            <v>3.5000000000000001E-3</v>
          </cell>
          <cell r="AQ25">
            <v>7</v>
          </cell>
          <cell r="AZ25">
            <v>1.25</v>
          </cell>
          <cell r="BA25">
            <v>0</v>
          </cell>
          <cell r="BB25">
            <v>0</v>
          </cell>
          <cell r="BC25">
            <v>17</v>
          </cell>
          <cell r="BD25" t="str">
            <v>NM</v>
          </cell>
          <cell r="BE25">
            <v>1.7081</v>
          </cell>
          <cell r="BF25" t="str">
            <v>NM</v>
          </cell>
          <cell r="BG25">
            <v>5</v>
          </cell>
          <cell r="BH25">
            <v>0.57502500000000001</v>
          </cell>
          <cell r="BI25">
            <v>2.9700000000000001E-2</v>
          </cell>
          <cell r="BJ25">
            <v>0</v>
          </cell>
          <cell r="BK25">
            <v>12</v>
          </cell>
        </row>
      </sheetData>
      <sheetData sheetId="4"/>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INTRODUCTION"/>
      <sheetName val="Log"/>
      <sheetName val="INPUT"/>
      <sheetName val="ADDITIONAL DATA"/>
      <sheetName val="CALL PATTERN"/>
      <sheetName val="SUMMARY"/>
      <sheetName val="KEY FINANCIAL INDICATORS"/>
      <sheetName val="OVERVIEW ONE SUB"/>
      <sheetName val="OVERVIEW"/>
      <sheetName val="Churn"/>
      <sheetName val="Controlling input"/>
      <sheetName val="Corrections"/>
      <sheetName val="Sac"/>
      <sheetName val="Src"/>
      <sheetName val="CALCULATIONS Sens -"/>
      <sheetName val="CALCULATIONS Sens +"/>
      <sheetName val="Sac Budget 2007"/>
      <sheetName val="CALCULATIONS"/>
      <sheetName val="CALCULATIONS ONE SUB"/>
      <sheetName val=" Billed Voice ARPU outgo"/>
      <sheetName val="Billed SMS ARPU  outgo"/>
      <sheetName val="Billed MMS ARPU outgo"/>
      <sheetName val="Billed DATA ARPU  outgo"/>
      <sheetName val=" Billed Voice ARPU incom"/>
      <sheetName val="Billed SMS ARPU  incom"/>
      <sheetName val="Billed MMS ARPU Incom"/>
      <sheetName val=" Billed Voice AUPU"/>
      <sheetName val="Billed SMS AUPU "/>
      <sheetName val="Billed MMS AUPU outgo"/>
      <sheetName val=" Billed Voice AUPU incom"/>
      <sheetName val="Billed SMS AUPU  incom"/>
      <sheetName val="Billed MMS AUPU  incom"/>
      <sheetName val="BC TEMPLATE 4 2"/>
    </sheetNames>
    <sheetDataSet>
      <sheetData sheetId="0"/>
      <sheetData sheetId="1"/>
      <sheetData sheetId="2"/>
      <sheetData sheetId="3">
        <row r="4">
          <cell r="AC4" t="str">
            <v>RACE</v>
          </cell>
        </row>
      </sheetData>
      <sheetData sheetId="4"/>
      <sheetData sheetId="5"/>
      <sheetData sheetId="6"/>
      <sheetData sheetId="7"/>
      <sheetData sheetId="8">
        <row r="44">
          <cell r="K44">
            <v>-32340.804692827594</v>
          </cell>
        </row>
      </sheetData>
      <sheetData sheetId="9">
        <row r="44">
          <cell r="K44">
            <v>-646.87542063871058</v>
          </cell>
        </row>
      </sheetData>
      <sheetData sheetId="10"/>
      <sheetData sheetId="11"/>
      <sheetData sheetId="12"/>
      <sheetData sheetId="13"/>
      <sheetData sheetId="14"/>
      <sheetData sheetId="15"/>
      <sheetData sheetId="16"/>
      <sheetData sheetId="17"/>
      <sheetData sheetId="18">
        <row r="1">
          <cell r="AP1">
            <v>1000</v>
          </cell>
        </row>
      </sheetData>
      <sheetData sheetId="19">
        <row r="423">
          <cell r="V423">
            <v>-32340.804692827594</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e Card Discount Schedule"/>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High Level Inputs"/>
      <sheetName val="Existing Server Landscape"/>
      <sheetName val="Competing Server Landscape"/>
      <sheetName val="Oracle Proposed Landscape"/>
      <sheetName val="BAU Databases (Optional)"/>
      <sheetName val="TempMappings"/>
      <sheetName val="ReferenceMValues"/>
      <sheetName val="Lookup"/>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ow r="2">
          <cell r="A2" t="str">
            <v>ORACLE</v>
          </cell>
          <cell r="B2" t="str">
            <v>CLUSTERED</v>
          </cell>
          <cell r="D2" t="str">
            <v>Oracle Enterprise Linux (OEL)</v>
          </cell>
        </row>
        <row r="3">
          <cell r="A3" t="str">
            <v>MYSQL</v>
          </cell>
          <cell r="B3" t="str">
            <v>SHARED-NOTHING</v>
          </cell>
          <cell r="D3" t="str">
            <v>Linux</v>
          </cell>
        </row>
        <row r="4">
          <cell r="A4" t="str">
            <v>INGRES</v>
          </cell>
          <cell r="B4" t="str">
            <v>NON-CLUSTERED</v>
          </cell>
          <cell r="D4" t="str">
            <v>Windows</v>
          </cell>
        </row>
        <row r="5">
          <cell r="A5" t="str">
            <v>INFORMIX</v>
          </cell>
          <cell r="D5" t="str">
            <v>Solaris 11</v>
          </cell>
        </row>
        <row r="6">
          <cell r="A6" t="str">
            <v>IBMDB2</v>
          </cell>
          <cell r="D6" t="str">
            <v>Solaris 10</v>
          </cell>
        </row>
        <row r="7">
          <cell r="A7" t="str">
            <v>GREENPLUM</v>
          </cell>
          <cell r="D7" t="str">
            <v>Other</v>
          </cell>
        </row>
        <row r="8">
          <cell r="A8" t="str">
            <v>NETEZZA</v>
          </cell>
        </row>
        <row r="9">
          <cell r="A9" t="str">
            <v>TERADATA</v>
          </cell>
        </row>
        <row r="10">
          <cell r="A10" t="str">
            <v>MSSQL</v>
          </cell>
        </row>
        <row r="11">
          <cell r="A11" t="str">
            <v>SYBASE</v>
          </cell>
        </row>
        <row r="12">
          <cell r="A12" t="str">
            <v>SYBASE-IQ</v>
          </cell>
        </row>
        <row r="13">
          <cell r="A13" t="str">
            <v>OTHER</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ex1"/>
      <sheetName val="Annex2-Traffic&amp;Cost"/>
      <sheetName val="Annex3-Price"/>
      <sheetName val="Summary sheet!"/>
    </sheetNames>
    <sheetDataSet>
      <sheetData sheetId="0"/>
      <sheetData sheetId="1"/>
      <sheetData sheetId="2"/>
      <sheetData sheetId="3">
        <row r="13">
          <cell r="Q13" t="str">
            <v>Promotional</v>
          </cell>
        </row>
        <row r="14">
          <cell r="Q14" t="str">
            <v>Permanent</v>
          </cell>
        </row>
        <row r="19">
          <cell r="Q19" t="str">
            <v>Mobile</v>
          </cell>
        </row>
        <row r="20">
          <cell r="Q20" t="str">
            <v>Fixed</v>
          </cell>
        </row>
        <row r="21">
          <cell r="Q21" t="str">
            <v>Both Fixed/Mobile</v>
          </cell>
        </row>
        <row r="22">
          <cell r="Q22" t="str">
            <v>Voice</v>
          </cell>
        </row>
        <row r="23">
          <cell r="Q23" t="str">
            <v>Data</v>
          </cell>
        </row>
        <row r="24">
          <cell r="Q24" t="str">
            <v>Both Voice/Data</v>
          </cell>
        </row>
        <row r="55">
          <cell r="Q55" t="str">
            <v>Approved</v>
          </cell>
        </row>
        <row r="56">
          <cell r="Q56" t="str">
            <v>Denied</v>
          </cell>
        </row>
        <row r="57">
          <cell r="Q57" t="str">
            <v>Rejected</v>
          </cell>
        </row>
        <row r="58">
          <cell r="Q58" t="str">
            <v>Cancelled</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
      <sheetName val="TCO Variables"/>
      <sheetName val="TCO Calc"/>
      <sheetName val="TCO Variables (2)"/>
      <sheetName val="TCO Summary"/>
      <sheetName val="Functional Benefits"/>
      <sheetName val="Functional benefit chart"/>
    </sheetNames>
    <sheetDataSet>
      <sheetData sheetId="0"/>
      <sheetData sheetId="1"/>
      <sheetData sheetId="2"/>
      <sheetData sheetId="3"/>
      <sheetData sheetId="4"/>
      <sheetData sheetId="5"/>
      <sheetData sheetId="6"/>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Navigation"/>
      <sheetName val="Inputs --&gt;"/>
      <sheetName val="Promo Activation"/>
      <sheetName val="UAE Employees"/>
      <sheetName val="Plans"/>
      <sheetName val="Update --&gt;"/>
      <sheetName val="Update  - Intro"/>
      <sheetName val="Update - Usage"/>
      <sheetName val="Update  - Subs"/>
      <sheetName val="Create New Plan"/>
      <sheetName val="Subscribers --&gt;"/>
      <sheetName val="Migration Matrix"/>
      <sheetName val="Trend Calculation"/>
      <sheetName val="Pre Subs"/>
      <sheetName val="Post Subs"/>
      <sheetName val="Pre-Paid ARPU --&gt;"/>
      <sheetName val="Prep Usage Porfiles"/>
      <sheetName val="Scenarios"/>
      <sheetName val="You &amp; Me ARPU"/>
      <sheetName val="On-Net ARPU"/>
      <sheetName val="Off-Peak ARPU"/>
      <sheetName val="Homeland ARPU"/>
      <sheetName val="Wasel ARPU"/>
      <sheetName val="FCP ARPU"/>
      <sheetName val="Pre-Paid Summary"/>
      <sheetName val="Post-Paid ARPU --&gt;"/>
      <sheetName val="Post Usage Profiles"/>
      <sheetName val="MyPlan Basic"/>
      <sheetName val="MyPlan Plus"/>
      <sheetName val="MyPlan Extra"/>
      <sheetName val="MyPlan Ultra"/>
      <sheetName val="MyPlan Mega"/>
      <sheetName val="MyPlan Prest Nat"/>
      <sheetName val="MyPlan Prest Int"/>
      <sheetName val="Int'l Plan"/>
      <sheetName val="GSM"/>
      <sheetName val="Post-Paid Summary"/>
      <sheetName val="Employee ARPU"/>
      <sheetName val="Employee Offer"/>
      <sheetName val="Promotions --&gt;"/>
      <sheetName val="Double STD"/>
      <sheetName val="IPUP Prep"/>
      <sheetName val="IPUP Post"/>
      <sheetName val="STC Prepaid"/>
      <sheetName val="STC Post Consumer"/>
      <sheetName val="STC Post Business"/>
      <sheetName val="MV On-Net"/>
      <sheetName val="MV Int'l"/>
      <sheetName val="Recharge Platform"/>
      <sheetName val="15 AED Voucher"/>
      <sheetName val="Promos Summary"/>
      <sheetName val="Output --&gt;"/>
      <sheetName val="Profitability"/>
      <sheetName val="Appendix --&gt;"/>
      <sheetName val="Promo Results"/>
      <sheetName val="On-Net Profile"/>
      <sheetName val="STC Analysis--&gt;"/>
      <sheetName val="Pre Input"/>
      <sheetName val="Pre Assumptions"/>
      <sheetName val="Pre STC 5 - 5"/>
      <sheetName val="Post Input"/>
      <sheetName val="Post Assumptions"/>
      <sheetName val="Post STC 5 - 5"/>
      <sheetName val="Nat Input"/>
      <sheetName val="Nat Assumptions"/>
      <sheetName val="Nat STC 3 - 3"/>
      <sheetName val="MyPlan Comp to GSM"/>
      <sheetName val="MyPlan G Basic"/>
      <sheetName val="MyPlan G Plus"/>
      <sheetName val="MyPlan G Extra"/>
      <sheetName val="MyPlan G Ultra"/>
      <sheetName val="MyPlan G Mega"/>
      <sheetName val="MyPlan G Prest Nat"/>
      <sheetName val="MyPlan G Prest Int"/>
      <sheetName val="Post-Paid G Summary"/>
      <sheetName val="Initial Post Sub Forecasts"/>
      <sheetName val="Templ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59">
          <cell r="N59">
            <v>8</v>
          </cell>
        </row>
        <row r="60">
          <cell r="N60">
            <v>99</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Values"/>
      <sheetName val="Oracle DB SW prices"/>
    </sheetNames>
    <sheetDataSet>
      <sheetData sheetId="0" refreshError="1"/>
      <sheetData sheetId="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rrent - High STD"/>
    </sheetNames>
    <sheetDataSet>
      <sheetData sheetId="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XO"/>
      <sheetName val="Annex 1"/>
      <sheetName val="rate card"/>
      <sheetName val="VSaaS"/>
      <sheetName val="BC"/>
      <sheetName val="Gross adds"/>
      <sheetName val="Cost allocation"/>
      <sheetName val="Cloud Cost"/>
      <sheetName val="Conn Sizing &amp; oth Capex-Opex "/>
      <sheetName val="Market Share Forecast"/>
      <sheetName val="New-Addition-Cisco-Router-SW"/>
      <sheetName val="Cisco-Switch&amp;Router Cost"/>
      <sheetName val="Thinkcell"/>
      <sheetName val="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2">
          <cell r="A2">
            <v>1000</v>
          </cell>
        </row>
        <row r="3">
          <cell r="A3">
            <v>3.6749999999999998</v>
          </cell>
        </row>
      </sheetData>
    </sheetDataSet>
  </externalBook>
</externalLink>
</file>

<file path=xl/tables/table1.xml><?xml version="1.0" encoding="utf-8"?>
<table xmlns="http://schemas.openxmlformats.org/spreadsheetml/2006/main" id="1" name="Table3" displayName="Table3" ref="A1:AC61" totalsRowShown="0" headerRowDxfId="31" dataDxfId="30" tableBorderDxfId="29">
  <autoFilter ref="A1:AC61"/>
  <tableColumns count="29">
    <tableColumn id="1" name="Tier" dataDxfId="28"/>
    <tableColumn id="2" name="Application / DB Name" dataDxfId="27"/>
    <tableColumn id="30" name="Instance Name" dataDxfId="26"/>
    <tableColumn id="3" name="Application / Database Vendor" dataDxfId="25"/>
    <tableColumn id="4" name="Function Description" dataDxfId="24"/>
    <tableColumn id="5" name="Server/Host Name" dataDxfId="23"/>
    <tableColumn id="6" name="Environment Lifecycle" dataDxfId="22"/>
    <tableColumn id="7" name="Data Center Location" dataDxfId="21"/>
    <tableColumn id="8" name="Server Model Name" dataDxfId="20"/>
    <tableColumn id="9" name="Server Acquisition Year" dataDxfId="19"/>
    <tableColumn id="10" name="CPU Model Name" dataDxfId="18"/>
    <tableColumn id="11" name="CPU Speed" dataDxfId="17"/>
    <tableColumn id="12" name="# of CPU Sockets per Server" dataDxfId="16"/>
    <tableColumn id="13" name="# of Physical Cores per CPU" dataDxfId="15"/>
    <tableColumn id="14" name="Average CPU Utilization" dataDxfId="14"/>
    <tableColumn id="15" name="Peak CPU Utilization" dataDxfId="13"/>
    <tableColumn id="16" name="Memory Size" dataDxfId="12"/>
    <tableColumn id="17" name="Average Memory Utilization" dataDxfId="11"/>
    <tableColumn id="18" name="Peak Memory Utilization" dataDxfId="10"/>
    <tableColumn id="19" name="App / DB Storage Size (GB)" dataDxfId="9"/>
    <tableColumn id="20" name="App / DB Version" dataDxfId="8"/>
    <tableColumn id="29" name="DB Character set " dataDxfId="7"/>
    <tableColumn id="21" name="Operating System Version" dataDxfId="6"/>
    <tableColumn id="22" name="Clustered Environment" dataDxfId="5"/>
    <tableColumn id="23" name="Physical or Virtual" dataDxfId="4"/>
    <tableColumn id="24" name="Hypervisory" dataDxfId="3"/>
    <tableColumn id="25" name="Hypervisory Version" dataDxfId="2"/>
    <tableColumn id="27" name="Backup Strategy" dataDxfId="1"/>
    <tableColumn id="28" name="Comments" dataDxfId="0"/>
  </tableColumns>
  <tableStyleInfo name="TableStyleMedium13"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5"/>
  <sheetViews>
    <sheetView showGridLines="0" zoomScale="80" zoomScaleNormal="80" workbookViewId="0">
      <selection sqref="A1:E1"/>
    </sheetView>
  </sheetViews>
  <sheetFormatPr defaultColWidth="8.85546875" defaultRowHeight="15" x14ac:dyDescent="0.25"/>
  <cols>
    <col min="1" max="1" width="6.28515625" style="29" customWidth="1"/>
    <col min="2" max="2" width="39.140625" style="29" customWidth="1"/>
    <col min="3" max="3" width="12.140625" style="29" bestFit="1" customWidth="1"/>
    <col min="4" max="4" width="26" style="29" customWidth="1"/>
    <col min="5" max="5" width="14.85546875" style="29" bestFit="1" customWidth="1"/>
    <col min="6" max="8" width="16" style="29" customWidth="1"/>
    <col min="9" max="9" width="17.42578125" style="29" customWidth="1"/>
    <col min="10" max="255" width="8.85546875" style="29"/>
    <col min="256" max="256" width="8.85546875" style="29" customWidth="1"/>
    <col min="257" max="257" width="31.42578125" style="29" customWidth="1"/>
    <col min="258" max="258" width="76.42578125" style="29" customWidth="1"/>
    <col min="259" max="264" width="16" style="29" customWidth="1"/>
    <col min="265" max="511" width="8.85546875" style="29"/>
    <col min="512" max="512" width="8.85546875" style="29" customWidth="1"/>
    <col min="513" max="513" width="31.42578125" style="29" customWidth="1"/>
    <col min="514" max="514" width="76.42578125" style="29" customWidth="1"/>
    <col min="515" max="520" width="16" style="29" customWidth="1"/>
    <col min="521" max="767" width="8.85546875" style="29"/>
    <col min="768" max="768" width="8.85546875" style="29" customWidth="1"/>
    <col min="769" max="769" width="31.42578125" style="29" customWidth="1"/>
    <col min="770" max="770" width="76.42578125" style="29" customWidth="1"/>
    <col min="771" max="776" width="16" style="29" customWidth="1"/>
    <col min="777" max="1023" width="8.85546875" style="29"/>
    <col min="1024" max="1024" width="8.85546875" style="29" customWidth="1"/>
    <col min="1025" max="1025" width="31.42578125" style="29" customWidth="1"/>
    <col min="1026" max="1026" width="76.42578125" style="29" customWidth="1"/>
    <col min="1027" max="1032" width="16" style="29" customWidth="1"/>
    <col min="1033" max="1279" width="8.85546875" style="29"/>
    <col min="1280" max="1280" width="8.85546875" style="29" customWidth="1"/>
    <col min="1281" max="1281" width="31.42578125" style="29" customWidth="1"/>
    <col min="1282" max="1282" width="76.42578125" style="29" customWidth="1"/>
    <col min="1283" max="1288" width="16" style="29" customWidth="1"/>
    <col min="1289" max="1535" width="8.85546875" style="29"/>
    <col min="1536" max="1536" width="8.85546875" style="29" customWidth="1"/>
    <col min="1537" max="1537" width="31.42578125" style="29" customWidth="1"/>
    <col min="1538" max="1538" width="76.42578125" style="29" customWidth="1"/>
    <col min="1539" max="1544" width="16" style="29" customWidth="1"/>
    <col min="1545" max="1791" width="8.85546875" style="29"/>
    <col min="1792" max="1792" width="8.85546875" style="29" customWidth="1"/>
    <col min="1793" max="1793" width="31.42578125" style="29" customWidth="1"/>
    <col min="1794" max="1794" width="76.42578125" style="29" customWidth="1"/>
    <col min="1795" max="1800" width="16" style="29" customWidth="1"/>
    <col min="1801" max="2047" width="8.85546875" style="29"/>
    <col min="2048" max="2048" width="8.85546875" style="29" customWidth="1"/>
    <col min="2049" max="2049" width="31.42578125" style="29" customWidth="1"/>
    <col min="2050" max="2050" width="76.42578125" style="29" customWidth="1"/>
    <col min="2051" max="2056" width="16" style="29" customWidth="1"/>
    <col min="2057" max="2303" width="8.85546875" style="29"/>
    <col min="2304" max="2304" width="8.85546875" style="29" customWidth="1"/>
    <col min="2305" max="2305" width="31.42578125" style="29" customWidth="1"/>
    <col min="2306" max="2306" width="76.42578125" style="29" customWidth="1"/>
    <col min="2307" max="2312" width="16" style="29" customWidth="1"/>
    <col min="2313" max="2559" width="8.85546875" style="29"/>
    <col min="2560" max="2560" width="8.85546875" style="29" customWidth="1"/>
    <col min="2561" max="2561" width="31.42578125" style="29" customWidth="1"/>
    <col min="2562" max="2562" width="76.42578125" style="29" customWidth="1"/>
    <col min="2563" max="2568" width="16" style="29" customWidth="1"/>
    <col min="2569" max="2815" width="8.85546875" style="29"/>
    <col min="2816" max="2816" width="8.85546875" style="29" customWidth="1"/>
    <col min="2817" max="2817" width="31.42578125" style="29" customWidth="1"/>
    <col min="2818" max="2818" width="76.42578125" style="29" customWidth="1"/>
    <col min="2819" max="2824" width="16" style="29" customWidth="1"/>
    <col min="2825" max="3071" width="8.85546875" style="29"/>
    <col min="3072" max="3072" width="8.85546875" style="29" customWidth="1"/>
    <col min="3073" max="3073" width="31.42578125" style="29" customWidth="1"/>
    <col min="3074" max="3074" width="76.42578125" style="29" customWidth="1"/>
    <col min="3075" max="3080" width="16" style="29" customWidth="1"/>
    <col min="3081" max="3327" width="8.85546875" style="29"/>
    <col min="3328" max="3328" width="8.85546875" style="29" customWidth="1"/>
    <col min="3329" max="3329" width="31.42578125" style="29" customWidth="1"/>
    <col min="3330" max="3330" width="76.42578125" style="29" customWidth="1"/>
    <col min="3331" max="3336" width="16" style="29" customWidth="1"/>
    <col min="3337" max="3583" width="8.85546875" style="29"/>
    <col min="3584" max="3584" width="8.85546875" style="29" customWidth="1"/>
    <col min="3585" max="3585" width="31.42578125" style="29" customWidth="1"/>
    <col min="3586" max="3586" width="76.42578125" style="29" customWidth="1"/>
    <col min="3587" max="3592" width="16" style="29" customWidth="1"/>
    <col min="3593" max="3839" width="8.85546875" style="29"/>
    <col min="3840" max="3840" width="8.85546875" style="29" customWidth="1"/>
    <col min="3841" max="3841" width="31.42578125" style="29" customWidth="1"/>
    <col min="3842" max="3842" width="76.42578125" style="29" customWidth="1"/>
    <col min="3843" max="3848" width="16" style="29" customWidth="1"/>
    <col min="3849" max="4095" width="8.85546875" style="29"/>
    <col min="4096" max="4096" width="8.85546875" style="29" customWidth="1"/>
    <col min="4097" max="4097" width="31.42578125" style="29" customWidth="1"/>
    <col min="4098" max="4098" width="76.42578125" style="29" customWidth="1"/>
    <col min="4099" max="4104" width="16" style="29" customWidth="1"/>
    <col min="4105" max="4351" width="8.85546875" style="29"/>
    <col min="4352" max="4352" width="8.85546875" style="29" customWidth="1"/>
    <col min="4353" max="4353" width="31.42578125" style="29" customWidth="1"/>
    <col min="4354" max="4354" width="76.42578125" style="29" customWidth="1"/>
    <col min="4355" max="4360" width="16" style="29" customWidth="1"/>
    <col min="4361" max="4607" width="8.85546875" style="29"/>
    <col min="4608" max="4608" width="8.85546875" style="29" customWidth="1"/>
    <col min="4609" max="4609" width="31.42578125" style="29" customWidth="1"/>
    <col min="4610" max="4610" width="76.42578125" style="29" customWidth="1"/>
    <col min="4611" max="4616" width="16" style="29" customWidth="1"/>
    <col min="4617" max="4863" width="8.85546875" style="29"/>
    <col min="4864" max="4864" width="8.85546875" style="29" customWidth="1"/>
    <col min="4865" max="4865" width="31.42578125" style="29" customWidth="1"/>
    <col min="4866" max="4866" width="76.42578125" style="29" customWidth="1"/>
    <col min="4867" max="4872" width="16" style="29" customWidth="1"/>
    <col min="4873" max="5119" width="8.85546875" style="29"/>
    <col min="5120" max="5120" width="8.85546875" style="29" customWidth="1"/>
    <col min="5121" max="5121" width="31.42578125" style="29" customWidth="1"/>
    <col min="5122" max="5122" width="76.42578125" style="29" customWidth="1"/>
    <col min="5123" max="5128" width="16" style="29" customWidth="1"/>
    <col min="5129" max="5375" width="8.85546875" style="29"/>
    <col min="5376" max="5376" width="8.85546875" style="29" customWidth="1"/>
    <col min="5377" max="5377" width="31.42578125" style="29" customWidth="1"/>
    <col min="5378" max="5378" width="76.42578125" style="29" customWidth="1"/>
    <col min="5379" max="5384" width="16" style="29" customWidth="1"/>
    <col min="5385" max="5631" width="8.85546875" style="29"/>
    <col min="5632" max="5632" width="8.85546875" style="29" customWidth="1"/>
    <col min="5633" max="5633" width="31.42578125" style="29" customWidth="1"/>
    <col min="5634" max="5634" width="76.42578125" style="29" customWidth="1"/>
    <col min="5635" max="5640" width="16" style="29" customWidth="1"/>
    <col min="5641" max="5887" width="8.85546875" style="29"/>
    <col min="5888" max="5888" width="8.85546875" style="29" customWidth="1"/>
    <col min="5889" max="5889" width="31.42578125" style="29" customWidth="1"/>
    <col min="5890" max="5890" width="76.42578125" style="29" customWidth="1"/>
    <col min="5891" max="5896" width="16" style="29" customWidth="1"/>
    <col min="5897" max="6143" width="8.85546875" style="29"/>
    <col min="6144" max="6144" width="8.85546875" style="29" customWidth="1"/>
    <col min="6145" max="6145" width="31.42578125" style="29" customWidth="1"/>
    <col min="6146" max="6146" width="76.42578125" style="29" customWidth="1"/>
    <col min="6147" max="6152" width="16" style="29" customWidth="1"/>
    <col min="6153" max="6399" width="8.85546875" style="29"/>
    <col min="6400" max="6400" width="8.85546875" style="29" customWidth="1"/>
    <col min="6401" max="6401" width="31.42578125" style="29" customWidth="1"/>
    <col min="6402" max="6402" width="76.42578125" style="29" customWidth="1"/>
    <col min="6403" max="6408" width="16" style="29" customWidth="1"/>
    <col min="6409" max="6655" width="8.85546875" style="29"/>
    <col min="6656" max="6656" width="8.85546875" style="29" customWidth="1"/>
    <col min="6657" max="6657" width="31.42578125" style="29" customWidth="1"/>
    <col min="6658" max="6658" width="76.42578125" style="29" customWidth="1"/>
    <col min="6659" max="6664" width="16" style="29" customWidth="1"/>
    <col min="6665" max="6911" width="8.85546875" style="29"/>
    <col min="6912" max="6912" width="8.85546875" style="29" customWidth="1"/>
    <col min="6913" max="6913" width="31.42578125" style="29" customWidth="1"/>
    <col min="6914" max="6914" width="76.42578125" style="29" customWidth="1"/>
    <col min="6915" max="6920" width="16" style="29" customWidth="1"/>
    <col min="6921" max="7167" width="8.85546875" style="29"/>
    <col min="7168" max="7168" width="8.85546875" style="29" customWidth="1"/>
    <col min="7169" max="7169" width="31.42578125" style="29" customWidth="1"/>
    <col min="7170" max="7170" width="76.42578125" style="29" customWidth="1"/>
    <col min="7171" max="7176" width="16" style="29" customWidth="1"/>
    <col min="7177" max="7423" width="8.85546875" style="29"/>
    <col min="7424" max="7424" width="8.85546875" style="29" customWidth="1"/>
    <col min="7425" max="7425" width="31.42578125" style="29" customWidth="1"/>
    <col min="7426" max="7426" width="76.42578125" style="29" customWidth="1"/>
    <col min="7427" max="7432" width="16" style="29" customWidth="1"/>
    <col min="7433" max="7679" width="8.85546875" style="29"/>
    <col min="7680" max="7680" width="8.85546875" style="29" customWidth="1"/>
    <col min="7681" max="7681" width="31.42578125" style="29" customWidth="1"/>
    <col min="7682" max="7682" width="76.42578125" style="29" customWidth="1"/>
    <col min="7683" max="7688" width="16" style="29" customWidth="1"/>
    <col min="7689" max="7935" width="8.85546875" style="29"/>
    <col min="7936" max="7936" width="8.85546875" style="29" customWidth="1"/>
    <col min="7937" max="7937" width="31.42578125" style="29" customWidth="1"/>
    <col min="7938" max="7938" width="76.42578125" style="29" customWidth="1"/>
    <col min="7939" max="7944" width="16" style="29" customWidth="1"/>
    <col min="7945" max="8191" width="8.85546875" style="29"/>
    <col min="8192" max="8192" width="8.85546875" style="29" customWidth="1"/>
    <col min="8193" max="8193" width="31.42578125" style="29" customWidth="1"/>
    <col min="8194" max="8194" width="76.42578125" style="29" customWidth="1"/>
    <col min="8195" max="8200" width="16" style="29" customWidth="1"/>
    <col min="8201" max="8447" width="8.85546875" style="29"/>
    <col min="8448" max="8448" width="8.85546875" style="29" customWidth="1"/>
    <col min="8449" max="8449" width="31.42578125" style="29" customWidth="1"/>
    <col min="8450" max="8450" width="76.42578125" style="29" customWidth="1"/>
    <col min="8451" max="8456" width="16" style="29" customWidth="1"/>
    <col min="8457" max="8703" width="8.85546875" style="29"/>
    <col min="8704" max="8704" width="8.85546875" style="29" customWidth="1"/>
    <col min="8705" max="8705" width="31.42578125" style="29" customWidth="1"/>
    <col min="8706" max="8706" width="76.42578125" style="29" customWidth="1"/>
    <col min="8707" max="8712" width="16" style="29" customWidth="1"/>
    <col min="8713" max="8959" width="8.85546875" style="29"/>
    <col min="8960" max="8960" width="8.85546875" style="29" customWidth="1"/>
    <col min="8961" max="8961" width="31.42578125" style="29" customWidth="1"/>
    <col min="8962" max="8962" width="76.42578125" style="29" customWidth="1"/>
    <col min="8963" max="8968" width="16" style="29" customWidth="1"/>
    <col min="8969" max="9215" width="8.85546875" style="29"/>
    <col min="9216" max="9216" width="8.85546875" style="29" customWidth="1"/>
    <col min="9217" max="9217" width="31.42578125" style="29" customWidth="1"/>
    <col min="9218" max="9218" width="76.42578125" style="29" customWidth="1"/>
    <col min="9219" max="9224" width="16" style="29" customWidth="1"/>
    <col min="9225" max="9471" width="8.85546875" style="29"/>
    <col min="9472" max="9472" width="8.85546875" style="29" customWidth="1"/>
    <col min="9473" max="9473" width="31.42578125" style="29" customWidth="1"/>
    <col min="9474" max="9474" width="76.42578125" style="29" customWidth="1"/>
    <col min="9475" max="9480" width="16" style="29" customWidth="1"/>
    <col min="9481" max="9727" width="8.85546875" style="29"/>
    <col min="9728" max="9728" width="8.85546875" style="29" customWidth="1"/>
    <col min="9729" max="9729" width="31.42578125" style="29" customWidth="1"/>
    <col min="9730" max="9730" width="76.42578125" style="29" customWidth="1"/>
    <col min="9731" max="9736" width="16" style="29" customWidth="1"/>
    <col min="9737" max="9983" width="8.85546875" style="29"/>
    <col min="9984" max="9984" width="8.85546875" style="29" customWidth="1"/>
    <col min="9985" max="9985" width="31.42578125" style="29" customWidth="1"/>
    <col min="9986" max="9986" width="76.42578125" style="29" customWidth="1"/>
    <col min="9987" max="9992" width="16" style="29" customWidth="1"/>
    <col min="9993" max="10239" width="8.85546875" style="29"/>
    <col min="10240" max="10240" width="8.85546875" style="29" customWidth="1"/>
    <col min="10241" max="10241" width="31.42578125" style="29" customWidth="1"/>
    <col min="10242" max="10242" width="76.42578125" style="29" customWidth="1"/>
    <col min="10243" max="10248" width="16" style="29" customWidth="1"/>
    <col min="10249" max="10495" width="8.85546875" style="29"/>
    <col min="10496" max="10496" width="8.85546875" style="29" customWidth="1"/>
    <col min="10497" max="10497" width="31.42578125" style="29" customWidth="1"/>
    <col min="10498" max="10498" width="76.42578125" style="29" customWidth="1"/>
    <col min="10499" max="10504" width="16" style="29" customWidth="1"/>
    <col min="10505" max="10751" width="8.85546875" style="29"/>
    <col min="10752" max="10752" width="8.85546875" style="29" customWidth="1"/>
    <col min="10753" max="10753" width="31.42578125" style="29" customWidth="1"/>
    <col min="10754" max="10754" width="76.42578125" style="29" customWidth="1"/>
    <col min="10755" max="10760" width="16" style="29" customWidth="1"/>
    <col min="10761" max="11007" width="8.85546875" style="29"/>
    <col min="11008" max="11008" width="8.85546875" style="29" customWidth="1"/>
    <col min="11009" max="11009" width="31.42578125" style="29" customWidth="1"/>
    <col min="11010" max="11010" width="76.42578125" style="29" customWidth="1"/>
    <col min="11011" max="11016" width="16" style="29" customWidth="1"/>
    <col min="11017" max="11263" width="8.85546875" style="29"/>
    <col min="11264" max="11264" width="8.85546875" style="29" customWidth="1"/>
    <col min="11265" max="11265" width="31.42578125" style="29" customWidth="1"/>
    <col min="11266" max="11266" width="76.42578125" style="29" customWidth="1"/>
    <col min="11267" max="11272" width="16" style="29" customWidth="1"/>
    <col min="11273" max="11519" width="8.85546875" style="29"/>
    <col min="11520" max="11520" width="8.85546875" style="29" customWidth="1"/>
    <col min="11521" max="11521" width="31.42578125" style="29" customWidth="1"/>
    <col min="11522" max="11522" width="76.42578125" style="29" customWidth="1"/>
    <col min="11523" max="11528" width="16" style="29" customWidth="1"/>
    <col min="11529" max="11775" width="8.85546875" style="29"/>
    <col min="11776" max="11776" width="8.85546875" style="29" customWidth="1"/>
    <col min="11777" max="11777" width="31.42578125" style="29" customWidth="1"/>
    <col min="11778" max="11778" width="76.42578125" style="29" customWidth="1"/>
    <col min="11779" max="11784" width="16" style="29" customWidth="1"/>
    <col min="11785" max="12031" width="8.85546875" style="29"/>
    <col min="12032" max="12032" width="8.85546875" style="29" customWidth="1"/>
    <col min="12033" max="12033" width="31.42578125" style="29" customWidth="1"/>
    <col min="12034" max="12034" width="76.42578125" style="29" customWidth="1"/>
    <col min="12035" max="12040" width="16" style="29" customWidth="1"/>
    <col min="12041" max="12287" width="8.85546875" style="29"/>
    <col min="12288" max="12288" width="8.85546875" style="29" customWidth="1"/>
    <col min="12289" max="12289" width="31.42578125" style="29" customWidth="1"/>
    <col min="12290" max="12290" width="76.42578125" style="29" customWidth="1"/>
    <col min="12291" max="12296" width="16" style="29" customWidth="1"/>
    <col min="12297" max="12543" width="8.85546875" style="29"/>
    <col min="12544" max="12544" width="8.85546875" style="29" customWidth="1"/>
    <col min="12545" max="12545" width="31.42578125" style="29" customWidth="1"/>
    <col min="12546" max="12546" width="76.42578125" style="29" customWidth="1"/>
    <col min="12547" max="12552" width="16" style="29" customWidth="1"/>
    <col min="12553" max="12799" width="8.85546875" style="29"/>
    <col min="12800" max="12800" width="8.85546875" style="29" customWidth="1"/>
    <col min="12801" max="12801" width="31.42578125" style="29" customWidth="1"/>
    <col min="12802" max="12802" width="76.42578125" style="29" customWidth="1"/>
    <col min="12803" max="12808" width="16" style="29" customWidth="1"/>
    <col min="12809" max="13055" width="8.85546875" style="29"/>
    <col min="13056" max="13056" width="8.85546875" style="29" customWidth="1"/>
    <col min="13057" max="13057" width="31.42578125" style="29" customWidth="1"/>
    <col min="13058" max="13058" width="76.42578125" style="29" customWidth="1"/>
    <col min="13059" max="13064" width="16" style="29" customWidth="1"/>
    <col min="13065" max="13311" width="8.85546875" style="29"/>
    <col min="13312" max="13312" width="8.85546875" style="29" customWidth="1"/>
    <col min="13313" max="13313" width="31.42578125" style="29" customWidth="1"/>
    <col min="13314" max="13314" width="76.42578125" style="29" customWidth="1"/>
    <col min="13315" max="13320" width="16" style="29" customWidth="1"/>
    <col min="13321" max="13567" width="8.85546875" style="29"/>
    <col min="13568" max="13568" width="8.85546875" style="29" customWidth="1"/>
    <col min="13569" max="13569" width="31.42578125" style="29" customWidth="1"/>
    <col min="13570" max="13570" width="76.42578125" style="29" customWidth="1"/>
    <col min="13571" max="13576" width="16" style="29" customWidth="1"/>
    <col min="13577" max="13823" width="8.85546875" style="29"/>
    <col min="13824" max="13824" width="8.85546875" style="29" customWidth="1"/>
    <col min="13825" max="13825" width="31.42578125" style="29" customWidth="1"/>
    <col min="13826" max="13826" width="76.42578125" style="29" customWidth="1"/>
    <col min="13827" max="13832" width="16" style="29" customWidth="1"/>
    <col min="13833" max="14079" width="8.85546875" style="29"/>
    <col min="14080" max="14080" width="8.85546875" style="29" customWidth="1"/>
    <col min="14081" max="14081" width="31.42578125" style="29" customWidth="1"/>
    <col min="14082" max="14082" width="76.42578125" style="29" customWidth="1"/>
    <col min="14083" max="14088" width="16" style="29" customWidth="1"/>
    <col min="14089" max="14335" width="8.85546875" style="29"/>
    <col min="14336" max="14336" width="8.85546875" style="29" customWidth="1"/>
    <col min="14337" max="14337" width="31.42578125" style="29" customWidth="1"/>
    <col min="14338" max="14338" width="76.42578125" style="29" customWidth="1"/>
    <col min="14339" max="14344" width="16" style="29" customWidth="1"/>
    <col min="14345" max="14591" width="8.85546875" style="29"/>
    <col min="14592" max="14592" width="8.85546875" style="29" customWidth="1"/>
    <col min="14593" max="14593" width="31.42578125" style="29" customWidth="1"/>
    <col min="14594" max="14594" width="76.42578125" style="29" customWidth="1"/>
    <col min="14595" max="14600" width="16" style="29" customWidth="1"/>
    <col min="14601" max="14847" width="8.85546875" style="29"/>
    <col min="14848" max="14848" width="8.85546875" style="29" customWidth="1"/>
    <col min="14849" max="14849" width="31.42578125" style="29" customWidth="1"/>
    <col min="14850" max="14850" width="76.42578125" style="29" customWidth="1"/>
    <col min="14851" max="14856" width="16" style="29" customWidth="1"/>
    <col min="14857" max="15103" width="8.85546875" style="29"/>
    <col min="15104" max="15104" width="8.85546875" style="29" customWidth="1"/>
    <col min="15105" max="15105" width="31.42578125" style="29" customWidth="1"/>
    <col min="15106" max="15106" width="76.42578125" style="29" customWidth="1"/>
    <col min="15107" max="15112" width="16" style="29" customWidth="1"/>
    <col min="15113" max="15359" width="8.85546875" style="29"/>
    <col min="15360" max="15360" width="8.85546875" style="29" customWidth="1"/>
    <col min="15361" max="15361" width="31.42578125" style="29" customWidth="1"/>
    <col min="15362" max="15362" width="76.42578125" style="29" customWidth="1"/>
    <col min="15363" max="15368" width="16" style="29" customWidth="1"/>
    <col min="15369" max="15615" width="8.85546875" style="29"/>
    <col min="15616" max="15616" width="8.85546875" style="29" customWidth="1"/>
    <col min="15617" max="15617" width="31.42578125" style="29" customWidth="1"/>
    <col min="15618" max="15618" width="76.42578125" style="29" customWidth="1"/>
    <col min="15619" max="15624" width="16" style="29" customWidth="1"/>
    <col min="15625" max="15871" width="8.85546875" style="29"/>
    <col min="15872" max="15872" width="8.85546875" style="29" customWidth="1"/>
    <col min="15873" max="15873" width="31.42578125" style="29" customWidth="1"/>
    <col min="15874" max="15874" width="76.42578125" style="29" customWidth="1"/>
    <col min="15875" max="15880" width="16" style="29" customWidth="1"/>
    <col min="15881" max="16127" width="8.85546875" style="29"/>
    <col min="16128" max="16128" width="8.85546875" style="29" customWidth="1"/>
    <col min="16129" max="16129" width="31.42578125" style="29" customWidth="1"/>
    <col min="16130" max="16130" width="76.42578125" style="29" customWidth="1"/>
    <col min="16131" max="16136" width="16" style="29" customWidth="1"/>
    <col min="16137" max="16384" width="8.85546875" style="29"/>
  </cols>
  <sheetData>
    <row r="1" spans="1:5" s="45" customFormat="1" ht="28.5" customHeight="1" thickBot="1" x14ac:dyDescent="0.5">
      <c r="A1" s="102" t="s">
        <v>243</v>
      </c>
      <c r="B1" s="103"/>
      <c r="C1" s="103"/>
      <c r="D1" s="103"/>
      <c r="E1" s="104"/>
    </row>
    <row r="2" spans="1:5" x14ac:dyDescent="0.25">
      <c r="E2" s="87" t="s">
        <v>190</v>
      </c>
    </row>
    <row r="3" spans="1:5" ht="15.75" thickBot="1" x14ac:dyDescent="0.3">
      <c r="E3" s="47" t="s">
        <v>191</v>
      </c>
    </row>
    <row r="4" spans="1:5" ht="19.5" thickBot="1" x14ac:dyDescent="0.3">
      <c r="A4" s="111" t="s">
        <v>241</v>
      </c>
      <c r="B4" s="112"/>
      <c r="C4" s="112"/>
      <c r="D4" s="112"/>
      <c r="E4" s="112"/>
    </row>
    <row r="5" spans="1:5" ht="15.75" thickBot="1" x14ac:dyDescent="0.3">
      <c r="A5" s="39"/>
      <c r="B5" s="40"/>
      <c r="C5" s="39"/>
      <c r="D5" s="39"/>
      <c r="E5" s="86" t="s">
        <v>185</v>
      </c>
    </row>
    <row r="6" spans="1:5" x14ac:dyDescent="0.25">
      <c r="A6" s="39"/>
      <c r="B6" s="42" t="s">
        <v>186</v>
      </c>
      <c r="C6" s="109"/>
      <c r="D6" s="110"/>
      <c r="E6" s="39"/>
    </row>
    <row r="7" spans="1:5" x14ac:dyDescent="0.25">
      <c r="A7" s="39"/>
      <c r="B7" s="43" t="s">
        <v>187</v>
      </c>
      <c r="C7" s="105"/>
      <c r="D7" s="106"/>
      <c r="E7" s="41"/>
    </row>
    <row r="8" spans="1:5" x14ac:dyDescent="0.25">
      <c r="A8" s="39"/>
      <c r="B8" s="43" t="s">
        <v>188</v>
      </c>
      <c r="C8" s="105"/>
      <c r="D8" s="106"/>
      <c r="E8" s="41"/>
    </row>
    <row r="9" spans="1:5" x14ac:dyDescent="0.25">
      <c r="A9" s="39"/>
      <c r="B9" s="43" t="s">
        <v>240</v>
      </c>
      <c r="C9" s="88"/>
      <c r="D9" s="89"/>
      <c r="E9" s="41"/>
    </row>
    <row r="10" spans="1:5" ht="15.75" thickBot="1" x14ac:dyDescent="0.3">
      <c r="A10" s="39"/>
      <c r="B10" s="44" t="s">
        <v>189</v>
      </c>
      <c r="C10" s="107"/>
      <c r="D10" s="108"/>
      <c r="E10" s="41"/>
    </row>
    <row r="11" spans="1:5" x14ac:dyDescent="0.25">
      <c r="A11" s="39"/>
      <c r="E11" s="41"/>
    </row>
    <row r="15" spans="1:5" ht="42.75" customHeight="1" x14ac:dyDescent="0.25">
      <c r="A15" s="101" t="s">
        <v>242</v>
      </c>
      <c r="B15" s="101"/>
      <c r="C15" s="101"/>
      <c r="D15" s="101"/>
      <c r="E15" s="101"/>
    </row>
  </sheetData>
  <mergeCells count="7">
    <mergeCell ref="A15:E15"/>
    <mergeCell ref="A1:E1"/>
    <mergeCell ref="C8:D8"/>
    <mergeCell ref="C10:D10"/>
    <mergeCell ref="C7:D7"/>
    <mergeCell ref="C6:D6"/>
    <mergeCell ref="A4:E4"/>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53"/>
  <sheetViews>
    <sheetView showGridLines="0" zoomScale="85" zoomScaleNormal="85" workbookViewId="0">
      <selection activeCell="L4" sqref="L4"/>
    </sheetView>
  </sheetViews>
  <sheetFormatPr defaultColWidth="8.85546875" defaultRowHeight="12.75" x14ac:dyDescent="0.2"/>
  <cols>
    <col min="1" max="1" width="1.5703125" style="45" customWidth="1"/>
    <col min="2" max="2" width="3.7109375" style="45" customWidth="1"/>
    <col min="3" max="3" width="64.28515625" style="46" customWidth="1"/>
    <col min="4" max="4" width="6.140625" style="45" customWidth="1"/>
    <col min="5" max="5" width="32.28515625" style="45" customWidth="1"/>
    <col min="6" max="6" width="16.7109375" style="45" customWidth="1"/>
    <col min="7" max="8" width="8.85546875" style="45"/>
    <col min="9" max="9" width="80.5703125" style="45" customWidth="1"/>
    <col min="10" max="10" width="8.85546875" style="45"/>
    <col min="11" max="11" width="27.42578125" style="45" customWidth="1"/>
    <col min="12" max="12" width="20.85546875" style="45" customWidth="1"/>
    <col min="13" max="13" width="48.85546875" style="45" customWidth="1"/>
    <col min="14" max="15" width="8.85546875" style="45"/>
    <col min="16" max="16" width="13.5703125" style="45" bestFit="1" customWidth="1"/>
    <col min="17" max="16384" width="8.85546875" style="45"/>
  </cols>
  <sheetData>
    <row r="1" spans="2:12" x14ac:dyDescent="0.2">
      <c r="L1" s="87" t="s">
        <v>190</v>
      </c>
    </row>
    <row r="2" spans="2:12" x14ac:dyDescent="0.2">
      <c r="L2" s="47" t="s">
        <v>191</v>
      </c>
    </row>
    <row r="3" spans="2:12" ht="19.5" thickBot="1" x14ac:dyDescent="0.25">
      <c r="B3" s="114" t="s">
        <v>238</v>
      </c>
      <c r="C3" s="115"/>
      <c r="D3" s="115"/>
      <c r="E3" s="115"/>
      <c r="F3" s="115"/>
      <c r="G3" s="115"/>
      <c r="H3" s="115"/>
      <c r="I3" s="115"/>
      <c r="J3" s="115"/>
      <c r="K3" s="115"/>
      <c r="L3" s="115"/>
    </row>
    <row r="4" spans="2:12" ht="13.5" thickBot="1" x14ac:dyDescent="0.25">
      <c r="L4" s="93" t="s">
        <v>185</v>
      </c>
    </row>
    <row r="5" spans="2:12" ht="100.5" customHeight="1" x14ac:dyDescent="0.2">
      <c r="B5" s="116" t="s">
        <v>244</v>
      </c>
      <c r="C5" s="117"/>
      <c r="D5" s="117"/>
      <c r="E5" s="117"/>
      <c r="F5" s="117"/>
      <c r="G5" s="117"/>
      <c r="H5" s="117"/>
      <c r="I5" s="117"/>
      <c r="J5" s="117"/>
      <c r="K5" s="117"/>
      <c r="L5" s="117"/>
    </row>
    <row r="7" spans="2:12" s="48" customFormat="1" ht="55.5" customHeight="1" x14ac:dyDescent="0.25">
      <c r="B7" s="118" t="s">
        <v>258</v>
      </c>
      <c r="C7" s="119"/>
      <c r="D7" s="119"/>
      <c r="E7" s="119"/>
      <c r="F7" s="120"/>
      <c r="G7" s="85"/>
      <c r="H7" s="118" t="s">
        <v>259</v>
      </c>
      <c r="I7" s="119"/>
      <c r="J7" s="119"/>
      <c r="K7" s="119"/>
      <c r="L7" s="120"/>
    </row>
    <row r="8" spans="2:12" x14ac:dyDescent="0.2">
      <c r="B8" s="90" t="s">
        <v>192</v>
      </c>
      <c r="C8" s="91" t="s">
        <v>193</v>
      </c>
      <c r="D8" s="92" t="s">
        <v>194</v>
      </c>
      <c r="E8" s="92" t="s">
        <v>195</v>
      </c>
      <c r="F8" s="90" t="s">
        <v>196</v>
      </c>
      <c r="G8" s="62"/>
      <c r="H8" s="90" t="s">
        <v>192</v>
      </c>
      <c r="I8" s="91" t="s">
        <v>193</v>
      </c>
      <c r="J8" s="92" t="s">
        <v>194</v>
      </c>
      <c r="K8" s="92" t="s">
        <v>195</v>
      </c>
      <c r="L8" s="90" t="s">
        <v>196</v>
      </c>
    </row>
    <row r="9" spans="2:12" ht="25.5" x14ac:dyDescent="0.2">
      <c r="B9" s="49">
        <v>1</v>
      </c>
      <c r="C9" s="50" t="s">
        <v>197</v>
      </c>
      <c r="D9" s="75"/>
      <c r="E9" s="51"/>
      <c r="F9" s="52" t="s">
        <v>198</v>
      </c>
      <c r="G9" s="62"/>
      <c r="H9" s="49">
        <v>6</v>
      </c>
      <c r="I9" s="50" t="s">
        <v>204</v>
      </c>
      <c r="J9" s="75"/>
      <c r="K9" s="51"/>
      <c r="L9" s="52" t="s">
        <v>198</v>
      </c>
    </row>
    <row r="10" spans="2:12" ht="25.5" customHeight="1" x14ac:dyDescent="0.2">
      <c r="B10" s="49">
        <v>2</v>
      </c>
      <c r="C10" s="50" t="s">
        <v>199</v>
      </c>
      <c r="D10" s="75"/>
      <c r="E10" s="51"/>
      <c r="F10" s="52" t="s">
        <v>198</v>
      </c>
      <c r="G10" s="62"/>
      <c r="H10" s="49" t="s">
        <v>234</v>
      </c>
      <c r="I10" s="50" t="s">
        <v>235</v>
      </c>
      <c r="J10" s="75"/>
      <c r="K10" s="51"/>
      <c r="L10" s="52" t="s">
        <v>232</v>
      </c>
    </row>
    <row r="11" spans="2:12" ht="25.5" x14ac:dyDescent="0.2">
      <c r="B11" s="49">
        <v>3</v>
      </c>
      <c r="C11" s="50" t="s">
        <v>200</v>
      </c>
      <c r="D11" s="75"/>
      <c r="E11" s="51"/>
      <c r="F11" s="52" t="s">
        <v>198</v>
      </c>
      <c r="G11" s="62"/>
      <c r="H11" s="49">
        <v>7</v>
      </c>
      <c r="I11" s="50" t="s">
        <v>246</v>
      </c>
      <c r="J11" s="75"/>
      <c r="K11" s="51"/>
      <c r="L11" s="52" t="s">
        <v>233</v>
      </c>
    </row>
    <row r="12" spans="2:12" ht="29.65" customHeight="1" x14ac:dyDescent="0.2">
      <c r="B12" s="49">
        <v>4</v>
      </c>
      <c r="C12" s="50" t="s">
        <v>201</v>
      </c>
      <c r="D12" s="75"/>
      <c r="E12" s="51"/>
      <c r="F12" s="52" t="s">
        <v>198</v>
      </c>
      <c r="G12" s="62"/>
      <c r="H12" s="49" t="s">
        <v>203</v>
      </c>
      <c r="I12" s="50" t="s">
        <v>245</v>
      </c>
      <c r="J12" s="75"/>
      <c r="K12" s="51"/>
      <c r="L12" s="52" t="s">
        <v>198</v>
      </c>
    </row>
    <row r="13" spans="2:12" ht="31.9" customHeight="1" x14ac:dyDescent="0.2">
      <c r="B13" s="49">
        <v>5</v>
      </c>
      <c r="C13" s="50" t="s">
        <v>202</v>
      </c>
      <c r="D13" s="75"/>
      <c r="E13" s="51"/>
      <c r="F13" s="52" t="s">
        <v>198</v>
      </c>
      <c r="G13" s="62"/>
      <c r="H13" s="64"/>
      <c r="I13" s="65"/>
      <c r="J13" s="66"/>
      <c r="K13" s="67"/>
      <c r="L13" s="68"/>
    </row>
    <row r="14" spans="2:12" x14ac:dyDescent="0.2">
      <c r="B14" s="113"/>
      <c r="C14" s="113"/>
      <c r="D14" s="113"/>
      <c r="E14" s="113"/>
      <c r="F14" s="113"/>
      <c r="G14" s="113"/>
      <c r="H14" s="113"/>
      <c r="I14" s="113"/>
      <c r="J14" s="71"/>
      <c r="K14" s="72"/>
      <c r="L14" s="73"/>
    </row>
    <row r="15" spans="2:12" s="48" customFormat="1" ht="55.5" customHeight="1" x14ac:dyDescent="0.25">
      <c r="B15" s="118" t="s">
        <v>260</v>
      </c>
      <c r="C15" s="119"/>
      <c r="D15" s="119"/>
      <c r="E15" s="119"/>
      <c r="F15" s="120"/>
      <c r="G15" s="85"/>
      <c r="H15" s="118" t="s">
        <v>261</v>
      </c>
      <c r="I15" s="119"/>
      <c r="J15" s="119"/>
      <c r="K15" s="119"/>
      <c r="L15" s="120"/>
    </row>
    <row r="16" spans="2:12" x14ac:dyDescent="0.2">
      <c r="B16" s="90" t="s">
        <v>192</v>
      </c>
      <c r="C16" s="91" t="s">
        <v>193</v>
      </c>
      <c r="D16" s="92" t="s">
        <v>194</v>
      </c>
      <c r="E16" s="92" t="s">
        <v>195</v>
      </c>
      <c r="F16" s="90" t="s">
        <v>196</v>
      </c>
      <c r="G16" s="62"/>
      <c r="H16" s="90" t="s">
        <v>192</v>
      </c>
      <c r="I16" s="91" t="s">
        <v>193</v>
      </c>
      <c r="J16" s="92" t="s">
        <v>194</v>
      </c>
      <c r="K16" s="92" t="s">
        <v>195</v>
      </c>
      <c r="L16" s="90" t="s">
        <v>196</v>
      </c>
    </row>
    <row r="17" spans="2:12" ht="25.5" customHeight="1" x14ac:dyDescent="0.2">
      <c r="B17" s="49">
        <v>8</v>
      </c>
      <c r="C17" s="50" t="s">
        <v>205</v>
      </c>
      <c r="D17" s="75"/>
      <c r="E17" s="51"/>
      <c r="F17" s="52" t="s">
        <v>198</v>
      </c>
      <c r="G17" s="62"/>
      <c r="H17" s="49">
        <v>14</v>
      </c>
      <c r="I17" s="50" t="s">
        <v>209</v>
      </c>
      <c r="J17" s="75"/>
      <c r="K17" s="51"/>
      <c r="L17" s="52" t="s">
        <v>198</v>
      </c>
    </row>
    <row r="18" spans="2:12" ht="38.25" x14ac:dyDescent="0.2">
      <c r="B18" s="49">
        <f t="shared" ref="B18:B19" si="0">B17+1</f>
        <v>9</v>
      </c>
      <c r="C18" s="50" t="s">
        <v>206</v>
      </c>
      <c r="D18" s="75"/>
      <c r="E18" s="51"/>
      <c r="F18" s="52" t="s">
        <v>198</v>
      </c>
      <c r="G18" s="62"/>
      <c r="H18" s="49">
        <f>H17+1</f>
        <v>15</v>
      </c>
      <c r="I18" s="50" t="s">
        <v>210</v>
      </c>
      <c r="J18" s="75"/>
      <c r="K18" s="51"/>
      <c r="L18" s="52" t="s">
        <v>198</v>
      </c>
    </row>
    <row r="19" spans="2:12" ht="25.5" x14ac:dyDescent="0.2">
      <c r="B19" s="49">
        <f t="shared" si="0"/>
        <v>10</v>
      </c>
      <c r="C19" s="50" t="s">
        <v>207</v>
      </c>
      <c r="D19" s="75"/>
      <c r="E19" s="51"/>
      <c r="F19" s="52" t="s">
        <v>198</v>
      </c>
      <c r="G19" s="62"/>
      <c r="H19" s="49">
        <f t="shared" ref="H19:H20" si="1">H18+1</f>
        <v>16</v>
      </c>
      <c r="I19" s="50" t="s">
        <v>211</v>
      </c>
      <c r="J19" s="75"/>
      <c r="K19" s="51"/>
      <c r="L19" s="52" t="s">
        <v>198</v>
      </c>
    </row>
    <row r="20" spans="2:12" ht="25.5" x14ac:dyDescent="0.2">
      <c r="B20" s="49">
        <f>B19+1</f>
        <v>11</v>
      </c>
      <c r="C20" s="50" t="s">
        <v>256</v>
      </c>
      <c r="D20" s="75"/>
      <c r="E20" s="51"/>
      <c r="F20" s="52" t="s">
        <v>198</v>
      </c>
      <c r="G20" s="62"/>
      <c r="H20" s="49">
        <f t="shared" si="1"/>
        <v>17</v>
      </c>
      <c r="I20" s="50" t="s">
        <v>212</v>
      </c>
      <c r="J20" s="75"/>
      <c r="K20" s="51"/>
      <c r="L20" s="52" t="s">
        <v>198</v>
      </c>
    </row>
    <row r="21" spans="2:12" ht="26.65" customHeight="1" x14ac:dyDescent="0.2">
      <c r="B21" s="49">
        <v>12</v>
      </c>
      <c r="C21" s="50" t="s">
        <v>236</v>
      </c>
      <c r="D21" s="75"/>
      <c r="E21" s="51"/>
      <c r="F21" s="52" t="s">
        <v>198</v>
      </c>
      <c r="G21" s="62"/>
      <c r="H21" s="49">
        <f>H20+1</f>
        <v>18</v>
      </c>
      <c r="I21" s="50" t="s">
        <v>213</v>
      </c>
      <c r="J21" s="75"/>
      <c r="K21" s="51"/>
      <c r="L21" s="52" t="s">
        <v>198</v>
      </c>
    </row>
    <row r="22" spans="2:12" x14ac:dyDescent="0.2">
      <c r="B22" s="49">
        <v>13</v>
      </c>
      <c r="C22" s="50" t="s">
        <v>208</v>
      </c>
      <c r="D22" s="75"/>
      <c r="E22" s="51"/>
      <c r="F22" s="52" t="s">
        <v>198</v>
      </c>
      <c r="G22" s="62"/>
      <c r="H22" s="49">
        <f>H21+1</f>
        <v>19</v>
      </c>
      <c r="I22" s="50" t="s">
        <v>214</v>
      </c>
      <c r="J22" s="75"/>
      <c r="K22" s="51"/>
      <c r="L22" s="52" t="s">
        <v>198</v>
      </c>
    </row>
    <row r="23" spans="2:12" x14ac:dyDescent="0.2">
      <c r="B23" s="113"/>
      <c r="C23" s="113"/>
      <c r="D23" s="113"/>
      <c r="E23" s="113"/>
      <c r="F23" s="113"/>
      <c r="G23" s="113"/>
      <c r="H23" s="113"/>
      <c r="I23" s="113"/>
      <c r="J23" s="71"/>
      <c r="K23" s="72"/>
      <c r="L23" s="73"/>
    </row>
    <row r="25" spans="2:12" ht="28.9" customHeight="1" x14ac:dyDescent="0.2"/>
    <row r="26" spans="2:12" ht="30.4" customHeight="1" x14ac:dyDescent="0.2"/>
    <row r="27" spans="2:12" ht="26.65" customHeight="1" x14ac:dyDescent="0.2"/>
    <row r="29" spans="2:12" s="48" customFormat="1" ht="55.5" customHeight="1" x14ac:dyDescent="0.25"/>
    <row r="30" spans="2:12" x14ac:dyDescent="0.2">
      <c r="C30" s="45"/>
    </row>
    <row r="31" spans="2:12" ht="25.9" customHeight="1" x14ac:dyDescent="0.2">
      <c r="C31" s="45"/>
    </row>
    <row r="32" spans="2:12" ht="25.9" customHeight="1" x14ac:dyDescent="0.2">
      <c r="C32" s="45"/>
    </row>
    <row r="33" spans="3:6" ht="25.9" customHeight="1" x14ac:dyDescent="0.2">
      <c r="C33" s="45"/>
    </row>
    <row r="34" spans="3:6" ht="25.9" customHeight="1" x14ac:dyDescent="0.2">
      <c r="C34" s="45"/>
    </row>
    <row r="35" spans="3:6" ht="25.9" customHeight="1" x14ac:dyDescent="0.2">
      <c r="C35" s="45"/>
    </row>
    <row r="37" spans="3:6" s="62" customFormat="1" x14ac:dyDescent="0.2">
      <c r="C37" s="63"/>
    </row>
    <row r="43" spans="3:6" x14ac:dyDescent="0.2">
      <c r="C43" s="45"/>
    </row>
    <row r="44" spans="3:6" x14ac:dyDescent="0.2">
      <c r="C44" s="56"/>
      <c r="D44" s="57" t="s">
        <v>229</v>
      </c>
      <c r="E44" s="56"/>
      <c r="F44" s="58" t="s">
        <v>230</v>
      </c>
    </row>
    <row r="45" spans="3:6" x14ac:dyDescent="0.2">
      <c r="C45" s="56"/>
      <c r="D45" s="56"/>
      <c r="E45" s="56"/>
      <c r="F45" s="56"/>
    </row>
    <row r="46" spans="3:6" x14ac:dyDescent="0.2">
      <c r="C46" s="56"/>
      <c r="D46" s="56"/>
      <c r="E46" s="56"/>
      <c r="F46" s="56"/>
    </row>
    <row r="47" spans="3:6" x14ac:dyDescent="0.2">
      <c r="C47" s="56"/>
      <c r="D47" s="59" t="s">
        <v>231</v>
      </c>
      <c r="E47" s="56"/>
      <c r="F47" s="56" t="s">
        <v>231</v>
      </c>
    </row>
    <row r="48" spans="3:6" x14ac:dyDescent="0.2">
      <c r="C48" s="56"/>
      <c r="D48" s="59">
        <v>1</v>
      </c>
      <c r="E48" s="56"/>
      <c r="F48" s="56" t="s">
        <v>198</v>
      </c>
    </row>
    <row r="49" spans="3:6" x14ac:dyDescent="0.2">
      <c r="C49" s="56"/>
      <c r="D49" s="59">
        <v>2</v>
      </c>
      <c r="E49" s="56"/>
      <c r="F49" s="56" t="s">
        <v>232</v>
      </c>
    </row>
    <row r="50" spans="3:6" x14ac:dyDescent="0.2">
      <c r="C50" s="56"/>
      <c r="D50" s="59">
        <v>3</v>
      </c>
      <c r="E50" s="56"/>
      <c r="F50" s="56" t="s">
        <v>233</v>
      </c>
    </row>
    <row r="51" spans="3:6" x14ac:dyDescent="0.2">
      <c r="C51" s="56"/>
      <c r="D51" s="59">
        <v>4</v>
      </c>
      <c r="E51" s="56"/>
      <c r="F51" s="56"/>
    </row>
    <row r="52" spans="3:6" x14ac:dyDescent="0.2">
      <c r="C52" s="56"/>
      <c r="D52" s="59">
        <v>5</v>
      </c>
      <c r="E52" s="56"/>
      <c r="F52" s="56"/>
    </row>
    <row r="53" spans="3:6" x14ac:dyDescent="0.2">
      <c r="C53" s="56"/>
      <c r="D53" s="56">
        <v>0</v>
      </c>
      <c r="E53" s="56"/>
      <c r="F53" s="56"/>
    </row>
  </sheetData>
  <mergeCells count="8">
    <mergeCell ref="B23:I23"/>
    <mergeCell ref="B3:L3"/>
    <mergeCell ref="B5:L5"/>
    <mergeCell ref="B7:F7"/>
    <mergeCell ref="H7:L7"/>
    <mergeCell ref="B14:I14"/>
    <mergeCell ref="B15:F15"/>
    <mergeCell ref="H15:L15"/>
  </mergeCells>
  <dataValidations count="3">
    <dataValidation type="list" allowBlank="1" showInputMessage="1" showErrorMessage="1" sqref="D9:D13 J21:J23 D17:D22 J13:J14 J9:J11 J19 J17">
      <formula1>$D$48:$D$52</formula1>
    </dataValidation>
    <dataValidation type="list" allowBlank="1" showInputMessage="1" showErrorMessage="1" sqref="F9:F13 F17:F22 L9:L14 L17:L23">
      <formula1>$F$48:$F$50</formula1>
    </dataValidation>
    <dataValidation type="list" allowBlank="1" showInputMessage="1" showErrorMessage="1" sqref="J12 J20 J18">
      <formula1>$D$48:$D$53</formula1>
    </dataValidation>
  </dataValidations>
  <pageMargins left="0.70866141732283472" right="0.70866141732283472" top="0.74803149606299213" bottom="0.74803149606299213" header="0.31496062992125984" footer="0.31496062992125984"/>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61"/>
  <sheetViews>
    <sheetView showGridLines="0" zoomScale="85" zoomScaleNormal="85" workbookViewId="0">
      <selection activeCell="C1" sqref="C1"/>
    </sheetView>
  </sheetViews>
  <sheetFormatPr defaultColWidth="8.85546875" defaultRowHeight="12.75" x14ac:dyDescent="0.2"/>
  <cols>
    <col min="1" max="1" width="1.5703125" style="45" customWidth="1"/>
    <col min="2" max="2" width="3.7109375" style="45" customWidth="1"/>
    <col min="3" max="3" width="64.28515625" style="46" customWidth="1"/>
    <col min="4" max="4" width="6.140625" style="45" customWidth="1"/>
    <col min="5" max="5" width="32.28515625" style="45" customWidth="1"/>
    <col min="6" max="6" width="16.7109375" style="45" customWidth="1"/>
    <col min="7" max="8" width="8.85546875" style="45"/>
    <col min="9" max="9" width="80.5703125" style="45" customWidth="1"/>
    <col min="10" max="10" width="8.85546875" style="45"/>
    <col min="11" max="11" width="27.42578125" style="45" customWidth="1"/>
    <col min="12" max="12" width="20.85546875" style="45" customWidth="1"/>
    <col min="13" max="13" width="48.85546875" style="45" customWidth="1"/>
    <col min="14" max="15" width="8.85546875" style="45"/>
    <col min="16" max="16" width="13.5703125" style="45" bestFit="1" customWidth="1"/>
    <col min="17" max="16384" width="8.85546875" style="45"/>
  </cols>
  <sheetData>
    <row r="1" spans="2:12" x14ac:dyDescent="0.2">
      <c r="L1" s="87" t="s">
        <v>190</v>
      </c>
    </row>
    <row r="2" spans="2:12" x14ac:dyDescent="0.2">
      <c r="L2" s="47" t="s">
        <v>191</v>
      </c>
    </row>
    <row r="3" spans="2:12" ht="19.5" thickBot="1" x14ac:dyDescent="0.25">
      <c r="B3" s="114" t="s">
        <v>257</v>
      </c>
      <c r="C3" s="115"/>
      <c r="D3" s="115"/>
      <c r="E3" s="115"/>
      <c r="F3" s="115"/>
      <c r="G3" s="115"/>
      <c r="H3" s="115"/>
      <c r="I3" s="115"/>
      <c r="J3" s="115"/>
      <c r="K3" s="115"/>
      <c r="L3" s="115"/>
    </row>
    <row r="4" spans="2:12" ht="13.5" thickBot="1" x14ac:dyDescent="0.25">
      <c r="L4" s="93" t="s">
        <v>185</v>
      </c>
    </row>
    <row r="5" spans="2:12" ht="100.5" customHeight="1" x14ac:dyDescent="0.2">
      <c r="B5" s="116" t="s">
        <v>244</v>
      </c>
      <c r="C5" s="117"/>
      <c r="D5" s="117"/>
      <c r="E5" s="117"/>
      <c r="F5" s="117"/>
      <c r="G5" s="117"/>
      <c r="H5" s="117"/>
      <c r="I5" s="117"/>
      <c r="J5" s="117"/>
      <c r="K5" s="117"/>
      <c r="L5" s="117"/>
    </row>
    <row r="7" spans="2:12" ht="15.75" x14ac:dyDescent="0.2">
      <c r="B7" s="121" t="s">
        <v>262</v>
      </c>
      <c r="C7" s="121"/>
      <c r="D7" s="121"/>
      <c r="E7" s="121"/>
      <c r="F7" s="121"/>
      <c r="G7" s="62"/>
      <c r="H7" s="118" t="s">
        <v>263</v>
      </c>
      <c r="I7" s="119"/>
      <c r="J7" s="119"/>
      <c r="K7" s="119"/>
      <c r="L7" s="120"/>
    </row>
    <row r="8" spans="2:12" x14ac:dyDescent="0.2">
      <c r="B8" s="90" t="s">
        <v>192</v>
      </c>
      <c r="C8" s="91" t="s">
        <v>193</v>
      </c>
      <c r="D8" s="92" t="s">
        <v>194</v>
      </c>
      <c r="E8" s="92" t="s">
        <v>195</v>
      </c>
      <c r="F8" s="90" t="s">
        <v>196</v>
      </c>
      <c r="G8" s="62"/>
      <c r="H8" s="90" t="s">
        <v>192</v>
      </c>
      <c r="I8" s="91" t="s">
        <v>193</v>
      </c>
      <c r="J8" s="92" t="s">
        <v>194</v>
      </c>
      <c r="K8" s="92" t="s">
        <v>195</v>
      </c>
      <c r="L8" s="90" t="s">
        <v>196</v>
      </c>
    </row>
    <row r="9" spans="2:12" x14ac:dyDescent="0.2">
      <c r="B9" s="74">
        <v>20</v>
      </c>
      <c r="C9" s="76" t="s">
        <v>142</v>
      </c>
      <c r="D9" s="94"/>
      <c r="E9" s="95"/>
      <c r="F9" s="95" t="s">
        <v>198</v>
      </c>
      <c r="G9" s="62"/>
      <c r="H9" s="49">
        <v>34</v>
      </c>
      <c r="I9" s="50" t="s">
        <v>219</v>
      </c>
      <c r="J9" s="94"/>
      <c r="K9" s="95"/>
      <c r="L9" s="96" t="s">
        <v>198</v>
      </c>
    </row>
    <row r="10" spans="2:12" x14ac:dyDescent="0.2">
      <c r="B10" s="74">
        <v>21</v>
      </c>
      <c r="C10" s="76" t="s">
        <v>247</v>
      </c>
      <c r="D10" s="94"/>
      <c r="E10" s="95"/>
      <c r="F10" s="95" t="s">
        <v>198</v>
      </c>
      <c r="G10" s="62"/>
      <c r="H10" s="49">
        <f>H9+1</f>
        <v>35</v>
      </c>
      <c r="I10" s="50" t="s">
        <v>220</v>
      </c>
      <c r="J10" s="94"/>
      <c r="K10" s="95"/>
      <c r="L10" s="96" t="s">
        <v>198</v>
      </c>
    </row>
    <row r="11" spans="2:12" ht="25.5" x14ac:dyDescent="0.2">
      <c r="B11" s="49">
        <v>22</v>
      </c>
      <c r="C11" s="50" t="s">
        <v>215</v>
      </c>
      <c r="D11" s="94"/>
      <c r="E11" s="95"/>
      <c r="F11" s="95" t="s">
        <v>198</v>
      </c>
      <c r="G11" s="62"/>
      <c r="H11" s="49">
        <f t="shared" ref="H11:H16" si="0">H10+1</f>
        <v>36</v>
      </c>
      <c r="I11" s="50" t="s">
        <v>237</v>
      </c>
      <c r="J11" s="94"/>
      <c r="K11" s="95"/>
      <c r="L11" s="96" t="s">
        <v>198</v>
      </c>
    </row>
    <row r="12" spans="2:12" ht="25.5" x14ac:dyDescent="0.2">
      <c r="B12" s="49">
        <f>B11+1</f>
        <v>23</v>
      </c>
      <c r="C12" s="50" t="s">
        <v>216</v>
      </c>
      <c r="D12" s="94"/>
      <c r="E12" s="95"/>
      <c r="F12" s="95" t="s">
        <v>198</v>
      </c>
      <c r="G12" s="62"/>
      <c r="H12" s="49">
        <f t="shared" si="0"/>
        <v>37</v>
      </c>
      <c r="I12" s="50" t="s">
        <v>221</v>
      </c>
      <c r="J12" s="94"/>
      <c r="K12" s="95"/>
      <c r="L12" s="96" t="s">
        <v>198</v>
      </c>
    </row>
    <row r="13" spans="2:12" ht="25.9" customHeight="1" x14ac:dyDescent="0.2">
      <c r="B13" s="49">
        <f t="shared" ref="B13" si="1">B12+1</f>
        <v>24</v>
      </c>
      <c r="C13" s="50" t="s">
        <v>217</v>
      </c>
      <c r="D13" s="94"/>
      <c r="E13" s="95"/>
      <c r="F13" s="95" t="s">
        <v>198</v>
      </c>
      <c r="G13" s="62"/>
      <c r="H13" s="49">
        <f t="shared" si="0"/>
        <v>38</v>
      </c>
      <c r="I13" s="50" t="s">
        <v>222</v>
      </c>
      <c r="J13" s="94"/>
      <c r="K13" s="95"/>
      <c r="L13" s="96" t="s">
        <v>198</v>
      </c>
    </row>
    <row r="14" spans="2:12" ht="25.5" x14ac:dyDescent="0.2">
      <c r="B14" s="74">
        <v>25</v>
      </c>
      <c r="C14" s="76" t="s">
        <v>94</v>
      </c>
      <c r="D14" s="94"/>
      <c r="E14" s="95"/>
      <c r="F14" s="95" t="s">
        <v>198</v>
      </c>
      <c r="G14" s="62"/>
      <c r="H14" s="49">
        <f t="shared" si="0"/>
        <v>39</v>
      </c>
      <c r="I14" s="50" t="s">
        <v>223</v>
      </c>
      <c r="J14" s="94"/>
      <c r="K14" s="95"/>
      <c r="L14" s="96" t="s">
        <v>198</v>
      </c>
    </row>
    <row r="15" spans="2:12" s="48" customFormat="1" ht="55.5" customHeight="1" x14ac:dyDescent="0.25">
      <c r="B15" s="49">
        <v>26</v>
      </c>
      <c r="C15" s="50" t="s">
        <v>218</v>
      </c>
      <c r="D15" s="94"/>
      <c r="E15" s="95"/>
      <c r="F15" s="95" t="s">
        <v>198</v>
      </c>
      <c r="G15" s="85"/>
      <c r="H15" s="49">
        <f t="shared" si="0"/>
        <v>40</v>
      </c>
      <c r="I15" s="50" t="s">
        <v>224</v>
      </c>
      <c r="J15" s="94"/>
      <c r="K15" s="95"/>
      <c r="L15" s="96" t="s">
        <v>198</v>
      </c>
    </row>
    <row r="16" spans="2:12" x14ac:dyDescent="0.2">
      <c r="B16" s="74">
        <v>27</v>
      </c>
      <c r="C16" s="50" t="s">
        <v>171</v>
      </c>
      <c r="D16" s="94"/>
      <c r="E16" s="95"/>
      <c r="F16" s="95" t="s">
        <v>198</v>
      </c>
      <c r="G16" s="62"/>
      <c r="H16" s="49">
        <f t="shared" si="0"/>
        <v>41</v>
      </c>
      <c r="I16" s="50" t="s">
        <v>225</v>
      </c>
      <c r="J16" s="94"/>
      <c r="K16" s="95"/>
      <c r="L16" s="96" t="s">
        <v>198</v>
      </c>
    </row>
    <row r="17" spans="2:12" ht="25.5" x14ac:dyDescent="0.2">
      <c r="B17" s="74">
        <v>28</v>
      </c>
      <c r="C17" s="50" t="s">
        <v>150</v>
      </c>
      <c r="D17" s="94"/>
      <c r="E17" s="95"/>
      <c r="F17" s="95" t="s">
        <v>198</v>
      </c>
      <c r="G17" s="62"/>
    </row>
    <row r="18" spans="2:12" ht="25.5" x14ac:dyDescent="0.2">
      <c r="B18" s="74">
        <v>29</v>
      </c>
      <c r="C18" s="50" t="s">
        <v>175</v>
      </c>
      <c r="D18" s="94"/>
      <c r="E18" s="95"/>
      <c r="F18" s="95" t="s">
        <v>198</v>
      </c>
      <c r="G18" s="62"/>
    </row>
    <row r="19" spans="2:12" ht="25.5" x14ac:dyDescent="0.2">
      <c r="B19" s="74">
        <v>30</v>
      </c>
      <c r="C19" s="50" t="s">
        <v>172</v>
      </c>
      <c r="D19" s="94"/>
      <c r="E19" s="95"/>
      <c r="F19" s="95" t="s">
        <v>198</v>
      </c>
      <c r="G19" s="62"/>
    </row>
    <row r="20" spans="2:12" ht="25.5" x14ac:dyDescent="0.2">
      <c r="B20" s="74">
        <v>31</v>
      </c>
      <c r="C20" s="50" t="s">
        <v>176</v>
      </c>
      <c r="D20" s="94"/>
      <c r="E20" s="95"/>
      <c r="F20" s="95" t="s">
        <v>198</v>
      </c>
      <c r="G20" s="62"/>
    </row>
    <row r="21" spans="2:12" ht="25.5" x14ac:dyDescent="0.2">
      <c r="B21" s="74">
        <v>32</v>
      </c>
      <c r="C21" s="50" t="s">
        <v>139</v>
      </c>
      <c r="D21" s="94"/>
      <c r="E21" s="95"/>
      <c r="F21" s="95" t="s">
        <v>198</v>
      </c>
      <c r="G21" s="62"/>
    </row>
    <row r="22" spans="2:12" ht="25.5" x14ac:dyDescent="0.2">
      <c r="B22" s="74">
        <v>33</v>
      </c>
      <c r="C22" s="50" t="s">
        <v>138</v>
      </c>
      <c r="D22" s="94"/>
      <c r="E22" s="95"/>
      <c r="F22" s="95" t="s">
        <v>198</v>
      </c>
      <c r="G22" s="62"/>
    </row>
    <row r="23" spans="2:12" x14ac:dyDescent="0.2">
      <c r="B23" s="54"/>
      <c r="C23" s="55"/>
      <c r="D23" s="54"/>
      <c r="E23" s="54"/>
      <c r="F23" s="54"/>
      <c r="G23" s="54"/>
      <c r="H23" s="69"/>
      <c r="I23" s="70"/>
      <c r="J23" s="71"/>
      <c r="K23" s="72"/>
      <c r="L23" s="73"/>
    </row>
    <row r="24" spans="2:12" ht="15.75" x14ac:dyDescent="0.2">
      <c r="B24" s="118" t="s">
        <v>264</v>
      </c>
      <c r="C24" s="119"/>
      <c r="D24" s="119"/>
      <c r="E24" s="119"/>
      <c r="F24" s="120"/>
    </row>
    <row r="25" spans="2:12" x14ac:dyDescent="0.2">
      <c r="B25" s="90" t="s">
        <v>192</v>
      </c>
      <c r="C25" s="91" t="s">
        <v>226</v>
      </c>
      <c r="D25" s="92" t="s">
        <v>194</v>
      </c>
      <c r="E25" s="92" t="s">
        <v>195</v>
      </c>
      <c r="F25" s="90" t="s">
        <v>196</v>
      </c>
    </row>
    <row r="26" spans="2:12" s="48" customFormat="1" ht="55.5" customHeight="1" x14ac:dyDescent="0.25">
      <c r="B26" s="49">
        <v>42</v>
      </c>
      <c r="C26" s="53" t="s">
        <v>227</v>
      </c>
      <c r="D26" s="51"/>
      <c r="E26" s="51"/>
      <c r="F26" s="51"/>
    </row>
    <row r="27" spans="2:12" x14ac:dyDescent="0.2">
      <c r="B27" s="49">
        <f>B26+1</f>
        <v>43</v>
      </c>
      <c r="C27" s="53" t="s">
        <v>228</v>
      </c>
      <c r="D27" s="51"/>
      <c r="E27" s="51"/>
      <c r="F27" s="51"/>
    </row>
    <row r="28" spans="2:12" ht="25.15" customHeight="1" x14ac:dyDescent="0.2">
      <c r="B28" s="49">
        <f t="shared" ref="B28:B30" si="2">B27+1</f>
        <v>44</v>
      </c>
      <c r="C28" s="53"/>
      <c r="D28" s="51"/>
      <c r="E28" s="51"/>
      <c r="F28" s="51"/>
    </row>
    <row r="29" spans="2:12" ht="25.9" customHeight="1" x14ac:dyDescent="0.2">
      <c r="B29" s="49">
        <f t="shared" si="2"/>
        <v>45</v>
      </c>
      <c r="C29" s="53"/>
      <c r="D29" s="51"/>
      <c r="E29" s="51"/>
      <c r="F29" s="51"/>
    </row>
    <row r="30" spans="2:12" x14ac:dyDescent="0.2">
      <c r="B30" s="49">
        <f t="shared" si="2"/>
        <v>46</v>
      </c>
      <c r="C30" s="53"/>
      <c r="D30" s="51"/>
      <c r="E30" s="51"/>
      <c r="F30" s="51"/>
    </row>
    <row r="31" spans="2:12" x14ac:dyDescent="0.2">
      <c r="B31" s="54"/>
      <c r="C31" s="55"/>
      <c r="D31" s="54"/>
      <c r="E31" s="54"/>
      <c r="F31" s="54"/>
      <c r="G31" s="54"/>
      <c r="H31" s="69"/>
      <c r="I31" s="70"/>
      <c r="J31" s="71"/>
      <c r="K31" s="72"/>
      <c r="L31" s="73"/>
    </row>
    <row r="33" spans="3:3" ht="28.9" customHeight="1" x14ac:dyDescent="0.2"/>
    <row r="34" spans="3:3" ht="30.4" customHeight="1" x14ac:dyDescent="0.2"/>
    <row r="35" spans="3:3" ht="26.65" customHeight="1" x14ac:dyDescent="0.2"/>
    <row r="37" spans="3:3" s="48" customFormat="1" ht="55.5" customHeight="1" x14ac:dyDescent="0.25"/>
    <row r="38" spans="3:3" x14ac:dyDescent="0.2">
      <c r="C38" s="45"/>
    </row>
    <row r="39" spans="3:3" ht="25.9" customHeight="1" x14ac:dyDescent="0.2">
      <c r="C39" s="45"/>
    </row>
    <row r="40" spans="3:3" ht="25.9" customHeight="1" x14ac:dyDescent="0.2">
      <c r="C40" s="45"/>
    </row>
    <row r="41" spans="3:3" ht="25.9" customHeight="1" x14ac:dyDescent="0.2">
      <c r="C41" s="45"/>
    </row>
    <row r="42" spans="3:3" ht="25.9" customHeight="1" x14ac:dyDescent="0.2">
      <c r="C42" s="45"/>
    </row>
    <row r="43" spans="3:3" ht="25.9" customHeight="1" x14ac:dyDescent="0.2">
      <c r="C43" s="45"/>
    </row>
    <row r="45" spans="3:3" s="62" customFormat="1" x14ac:dyDescent="0.2">
      <c r="C45" s="63"/>
    </row>
    <row r="51" spans="3:6" x14ac:dyDescent="0.2">
      <c r="C51" s="45"/>
    </row>
    <row r="52" spans="3:6" x14ac:dyDescent="0.2">
      <c r="C52" s="56"/>
      <c r="D52" s="57" t="s">
        <v>229</v>
      </c>
      <c r="E52" s="56"/>
      <c r="F52" s="58" t="s">
        <v>230</v>
      </c>
    </row>
    <row r="53" spans="3:6" x14ac:dyDescent="0.2">
      <c r="C53" s="56"/>
      <c r="D53" s="56"/>
      <c r="E53" s="56"/>
      <c r="F53" s="56"/>
    </row>
    <row r="54" spans="3:6" x14ac:dyDescent="0.2">
      <c r="C54" s="56"/>
      <c r="D54" s="56"/>
      <c r="E54" s="56"/>
      <c r="F54" s="56"/>
    </row>
    <row r="55" spans="3:6" x14ac:dyDescent="0.2">
      <c r="C55" s="56"/>
      <c r="D55" s="59" t="s">
        <v>231</v>
      </c>
      <c r="E55" s="56"/>
      <c r="F55" s="56" t="s">
        <v>231</v>
      </c>
    </row>
    <row r="56" spans="3:6" x14ac:dyDescent="0.2">
      <c r="C56" s="56"/>
      <c r="D56" s="59">
        <v>1</v>
      </c>
      <c r="E56" s="56"/>
      <c r="F56" s="56" t="s">
        <v>198</v>
      </c>
    </row>
    <row r="57" spans="3:6" x14ac:dyDescent="0.2">
      <c r="C57" s="56"/>
      <c r="D57" s="59">
        <v>2</v>
      </c>
      <c r="E57" s="56"/>
      <c r="F57" s="56" t="s">
        <v>232</v>
      </c>
    </row>
    <row r="58" spans="3:6" x14ac:dyDescent="0.2">
      <c r="C58" s="56"/>
      <c r="D58" s="59">
        <v>3</v>
      </c>
      <c r="E58" s="56"/>
      <c r="F58" s="56" t="s">
        <v>233</v>
      </c>
    </row>
    <row r="59" spans="3:6" x14ac:dyDescent="0.2">
      <c r="C59" s="56"/>
      <c r="D59" s="59">
        <v>4</v>
      </c>
      <c r="E59" s="56"/>
      <c r="F59" s="56"/>
    </row>
    <row r="60" spans="3:6" x14ac:dyDescent="0.2">
      <c r="C60" s="56"/>
      <c r="D60" s="59">
        <v>5</v>
      </c>
      <c r="E60" s="56"/>
      <c r="F60" s="56"/>
    </row>
    <row r="61" spans="3:6" x14ac:dyDescent="0.2">
      <c r="C61" s="56"/>
      <c r="D61" s="56">
        <v>0</v>
      </c>
      <c r="E61" s="56"/>
      <c r="F61" s="56"/>
    </row>
  </sheetData>
  <mergeCells count="5">
    <mergeCell ref="B3:L3"/>
    <mergeCell ref="B5:L5"/>
    <mergeCell ref="B7:F7"/>
    <mergeCell ref="H7:L7"/>
    <mergeCell ref="B24:F24"/>
  </mergeCells>
  <dataValidations count="3">
    <dataValidation type="list" allowBlank="1" showInputMessage="1" showErrorMessage="1" sqref="J10">
      <formula1>$D$56:$D$61</formula1>
    </dataValidation>
    <dataValidation type="list" allowBlank="1" showInputMessage="1" showErrorMessage="1" sqref="L23 L31 F9:F22 F26:F30 L9:L16">
      <formula1>$F$56:$F$58</formula1>
    </dataValidation>
    <dataValidation type="list" allowBlank="1" showInputMessage="1" showErrorMessage="1" sqref="J23 J31 D26:D30 J11:J16 J9 D9:D22">
      <formula1>$D$56:$D$60</formula1>
    </dataValidation>
  </dataValidations>
  <pageMargins left="0.70866141732283472" right="0.70866141732283472" top="0.74803149606299213" bottom="0.74803149606299213" header="0.31496062992125984" footer="0.31496062992125984"/>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41"/>
  <sheetViews>
    <sheetView showGridLines="0" tabSelected="1" topLeftCell="A13" zoomScale="85" zoomScaleNormal="85" workbookViewId="0">
      <selection activeCell="A27" sqref="A27"/>
    </sheetView>
  </sheetViews>
  <sheetFormatPr defaultColWidth="8.85546875" defaultRowHeight="15" x14ac:dyDescent="0.25"/>
  <cols>
    <col min="1" max="1" width="82" style="61" customWidth="1"/>
    <col min="2" max="2" width="13.42578125" style="61" customWidth="1"/>
    <col min="3" max="3" width="65.85546875" style="78" customWidth="1"/>
    <col min="4" max="4" width="74.140625" style="81" customWidth="1"/>
    <col min="5" max="253" width="8.85546875" style="79"/>
    <col min="254" max="254" width="108.140625" style="79" customWidth="1"/>
    <col min="255" max="258" width="27.7109375" style="79" customWidth="1"/>
    <col min="259" max="509" width="8.85546875" style="79"/>
    <col min="510" max="510" width="108.140625" style="79" customWidth="1"/>
    <col min="511" max="514" width="27.7109375" style="79" customWidth="1"/>
    <col min="515" max="765" width="8.85546875" style="79"/>
    <col min="766" max="766" width="108.140625" style="79" customWidth="1"/>
    <col min="767" max="770" width="27.7109375" style="79" customWidth="1"/>
    <col min="771" max="1021" width="8.85546875" style="79"/>
    <col min="1022" max="1022" width="108.140625" style="79" customWidth="1"/>
    <col min="1023" max="1026" width="27.7109375" style="79" customWidth="1"/>
    <col min="1027" max="1277" width="8.85546875" style="79"/>
    <col min="1278" max="1278" width="108.140625" style="79" customWidth="1"/>
    <col min="1279" max="1282" width="27.7109375" style="79" customWidth="1"/>
    <col min="1283" max="1533" width="8.85546875" style="79"/>
    <col min="1534" max="1534" width="108.140625" style="79" customWidth="1"/>
    <col min="1535" max="1538" width="27.7109375" style="79" customWidth="1"/>
    <col min="1539" max="1789" width="8.85546875" style="79"/>
    <col min="1790" max="1790" width="108.140625" style="79" customWidth="1"/>
    <col min="1791" max="1794" width="27.7109375" style="79" customWidth="1"/>
    <col min="1795" max="2045" width="8.85546875" style="79"/>
    <col min="2046" max="2046" width="108.140625" style="79" customWidth="1"/>
    <col min="2047" max="2050" width="27.7109375" style="79" customWidth="1"/>
    <col min="2051" max="2301" width="8.85546875" style="79"/>
    <col min="2302" max="2302" width="108.140625" style="79" customWidth="1"/>
    <col min="2303" max="2306" width="27.7109375" style="79" customWidth="1"/>
    <col min="2307" max="2557" width="8.85546875" style="79"/>
    <col min="2558" max="2558" width="108.140625" style="79" customWidth="1"/>
    <col min="2559" max="2562" width="27.7109375" style="79" customWidth="1"/>
    <col min="2563" max="2813" width="8.85546875" style="79"/>
    <col min="2814" max="2814" width="108.140625" style="79" customWidth="1"/>
    <col min="2815" max="2818" width="27.7109375" style="79" customWidth="1"/>
    <col min="2819" max="3069" width="8.85546875" style="79"/>
    <col min="3070" max="3070" width="108.140625" style="79" customWidth="1"/>
    <col min="3071" max="3074" width="27.7109375" style="79" customWidth="1"/>
    <col min="3075" max="3325" width="8.85546875" style="79"/>
    <col min="3326" max="3326" width="108.140625" style="79" customWidth="1"/>
    <col min="3327" max="3330" width="27.7109375" style="79" customWidth="1"/>
    <col min="3331" max="3581" width="8.85546875" style="79"/>
    <col min="3582" max="3582" width="108.140625" style="79" customWidth="1"/>
    <col min="3583" max="3586" width="27.7109375" style="79" customWidth="1"/>
    <col min="3587" max="3837" width="8.85546875" style="79"/>
    <col min="3838" max="3838" width="108.140625" style="79" customWidth="1"/>
    <col min="3839" max="3842" width="27.7109375" style="79" customWidth="1"/>
    <col min="3843" max="4093" width="8.85546875" style="79"/>
    <col min="4094" max="4094" width="108.140625" style="79" customWidth="1"/>
    <col min="4095" max="4098" width="27.7109375" style="79" customWidth="1"/>
    <col min="4099" max="4349" width="8.85546875" style="79"/>
    <col min="4350" max="4350" width="108.140625" style="79" customWidth="1"/>
    <col min="4351" max="4354" width="27.7109375" style="79" customWidth="1"/>
    <col min="4355" max="4605" width="8.85546875" style="79"/>
    <col min="4606" max="4606" width="108.140625" style="79" customWidth="1"/>
    <col min="4607" max="4610" width="27.7109375" style="79" customWidth="1"/>
    <col min="4611" max="4861" width="8.85546875" style="79"/>
    <col min="4862" max="4862" width="108.140625" style="79" customWidth="1"/>
    <col min="4863" max="4866" width="27.7109375" style="79" customWidth="1"/>
    <col min="4867" max="5117" width="8.85546875" style="79"/>
    <col min="5118" max="5118" width="108.140625" style="79" customWidth="1"/>
    <col min="5119" max="5122" width="27.7109375" style="79" customWidth="1"/>
    <col min="5123" max="5373" width="8.85546875" style="79"/>
    <col min="5374" max="5374" width="108.140625" style="79" customWidth="1"/>
    <col min="5375" max="5378" width="27.7109375" style="79" customWidth="1"/>
    <col min="5379" max="5629" width="8.85546875" style="79"/>
    <col min="5630" max="5630" width="108.140625" style="79" customWidth="1"/>
    <col min="5631" max="5634" width="27.7109375" style="79" customWidth="1"/>
    <col min="5635" max="5885" width="8.85546875" style="79"/>
    <col min="5886" max="5886" width="108.140625" style="79" customWidth="1"/>
    <col min="5887" max="5890" width="27.7109375" style="79" customWidth="1"/>
    <col min="5891" max="6141" width="8.85546875" style="79"/>
    <col min="6142" max="6142" width="108.140625" style="79" customWidth="1"/>
    <col min="6143" max="6146" width="27.7109375" style="79" customWidth="1"/>
    <col min="6147" max="6397" width="8.85546875" style="79"/>
    <col min="6398" max="6398" width="108.140625" style="79" customWidth="1"/>
    <col min="6399" max="6402" width="27.7109375" style="79" customWidth="1"/>
    <col min="6403" max="6653" width="8.85546875" style="79"/>
    <col min="6654" max="6654" width="108.140625" style="79" customWidth="1"/>
    <col min="6655" max="6658" width="27.7109375" style="79" customWidth="1"/>
    <col min="6659" max="6909" width="8.85546875" style="79"/>
    <col min="6910" max="6910" width="108.140625" style="79" customWidth="1"/>
    <col min="6911" max="6914" width="27.7109375" style="79" customWidth="1"/>
    <col min="6915" max="7165" width="8.85546875" style="79"/>
    <col min="7166" max="7166" width="108.140625" style="79" customWidth="1"/>
    <col min="7167" max="7170" width="27.7109375" style="79" customWidth="1"/>
    <col min="7171" max="7421" width="8.85546875" style="79"/>
    <col min="7422" max="7422" width="108.140625" style="79" customWidth="1"/>
    <col min="7423" max="7426" width="27.7109375" style="79" customWidth="1"/>
    <col min="7427" max="7677" width="8.85546875" style="79"/>
    <col min="7678" max="7678" width="108.140625" style="79" customWidth="1"/>
    <col min="7679" max="7682" width="27.7109375" style="79" customWidth="1"/>
    <col min="7683" max="7933" width="8.85546875" style="79"/>
    <col min="7934" max="7934" width="108.140625" style="79" customWidth="1"/>
    <col min="7935" max="7938" width="27.7109375" style="79" customWidth="1"/>
    <col min="7939" max="8189" width="8.85546875" style="79"/>
    <col min="8190" max="8190" width="108.140625" style="79" customWidth="1"/>
    <col min="8191" max="8194" width="27.7109375" style="79" customWidth="1"/>
    <col min="8195" max="8445" width="8.85546875" style="79"/>
    <col min="8446" max="8446" width="108.140625" style="79" customWidth="1"/>
    <col min="8447" max="8450" width="27.7109375" style="79" customWidth="1"/>
    <col min="8451" max="8701" width="8.85546875" style="79"/>
    <col min="8702" max="8702" width="108.140625" style="79" customWidth="1"/>
    <col min="8703" max="8706" width="27.7109375" style="79" customWidth="1"/>
    <col min="8707" max="8957" width="8.85546875" style="79"/>
    <col min="8958" max="8958" width="108.140625" style="79" customWidth="1"/>
    <col min="8959" max="8962" width="27.7109375" style="79" customWidth="1"/>
    <col min="8963" max="9213" width="8.85546875" style="79"/>
    <col min="9214" max="9214" width="108.140625" style="79" customWidth="1"/>
    <col min="9215" max="9218" width="27.7109375" style="79" customWidth="1"/>
    <col min="9219" max="9469" width="8.85546875" style="79"/>
    <col min="9470" max="9470" width="108.140625" style="79" customWidth="1"/>
    <col min="9471" max="9474" width="27.7109375" style="79" customWidth="1"/>
    <col min="9475" max="9725" width="8.85546875" style="79"/>
    <col min="9726" max="9726" width="108.140625" style="79" customWidth="1"/>
    <col min="9727" max="9730" width="27.7109375" style="79" customWidth="1"/>
    <col min="9731" max="9981" width="8.85546875" style="79"/>
    <col min="9982" max="9982" width="108.140625" style="79" customWidth="1"/>
    <col min="9983" max="9986" width="27.7109375" style="79" customWidth="1"/>
    <col min="9987" max="10237" width="8.85546875" style="79"/>
    <col min="10238" max="10238" width="108.140625" style="79" customWidth="1"/>
    <col min="10239" max="10242" width="27.7109375" style="79" customWidth="1"/>
    <col min="10243" max="10493" width="8.85546875" style="79"/>
    <col min="10494" max="10494" width="108.140625" style="79" customWidth="1"/>
    <col min="10495" max="10498" width="27.7109375" style="79" customWidth="1"/>
    <col min="10499" max="10749" width="8.85546875" style="79"/>
    <col min="10750" max="10750" width="108.140625" style="79" customWidth="1"/>
    <col min="10751" max="10754" width="27.7109375" style="79" customWidth="1"/>
    <col min="10755" max="11005" width="8.85546875" style="79"/>
    <col min="11006" max="11006" width="108.140625" style="79" customWidth="1"/>
    <col min="11007" max="11010" width="27.7109375" style="79" customWidth="1"/>
    <col min="11011" max="11261" width="8.85546875" style="79"/>
    <col min="11262" max="11262" width="108.140625" style="79" customWidth="1"/>
    <col min="11263" max="11266" width="27.7109375" style="79" customWidth="1"/>
    <col min="11267" max="11517" width="8.85546875" style="79"/>
    <col min="11518" max="11518" width="108.140625" style="79" customWidth="1"/>
    <col min="11519" max="11522" width="27.7109375" style="79" customWidth="1"/>
    <col min="11523" max="11773" width="8.85546875" style="79"/>
    <col min="11774" max="11774" width="108.140625" style="79" customWidth="1"/>
    <col min="11775" max="11778" width="27.7109375" style="79" customWidth="1"/>
    <col min="11779" max="12029" width="8.85546875" style="79"/>
    <col min="12030" max="12030" width="108.140625" style="79" customWidth="1"/>
    <col min="12031" max="12034" width="27.7109375" style="79" customWidth="1"/>
    <col min="12035" max="12285" width="8.85546875" style="79"/>
    <col min="12286" max="12286" width="108.140625" style="79" customWidth="1"/>
    <col min="12287" max="12290" width="27.7109375" style="79" customWidth="1"/>
    <col min="12291" max="12541" width="8.85546875" style="79"/>
    <col min="12542" max="12542" width="108.140625" style="79" customWidth="1"/>
    <col min="12543" max="12546" width="27.7109375" style="79" customWidth="1"/>
    <col min="12547" max="12797" width="8.85546875" style="79"/>
    <col min="12798" max="12798" width="108.140625" style="79" customWidth="1"/>
    <col min="12799" max="12802" width="27.7109375" style="79" customWidth="1"/>
    <col min="12803" max="13053" width="8.85546875" style="79"/>
    <col min="13054" max="13054" width="108.140625" style="79" customWidth="1"/>
    <col min="13055" max="13058" width="27.7109375" style="79" customWidth="1"/>
    <col min="13059" max="13309" width="8.85546875" style="79"/>
    <col min="13310" max="13310" width="108.140625" style="79" customWidth="1"/>
    <col min="13311" max="13314" width="27.7109375" style="79" customWidth="1"/>
    <col min="13315" max="13565" width="8.85546875" style="79"/>
    <col min="13566" max="13566" width="108.140625" style="79" customWidth="1"/>
    <col min="13567" max="13570" width="27.7109375" style="79" customWidth="1"/>
    <col min="13571" max="13821" width="8.85546875" style="79"/>
    <col min="13822" max="13822" width="108.140625" style="79" customWidth="1"/>
    <col min="13823" max="13826" width="27.7109375" style="79" customWidth="1"/>
    <col min="13827" max="14077" width="8.85546875" style="79"/>
    <col min="14078" max="14078" width="108.140625" style="79" customWidth="1"/>
    <col min="14079" max="14082" width="27.7109375" style="79" customWidth="1"/>
    <col min="14083" max="14333" width="8.85546875" style="79"/>
    <col min="14334" max="14334" width="108.140625" style="79" customWidth="1"/>
    <col min="14335" max="14338" width="27.7109375" style="79" customWidth="1"/>
    <col min="14339" max="14589" width="8.85546875" style="79"/>
    <col min="14590" max="14590" width="108.140625" style="79" customWidth="1"/>
    <col min="14591" max="14594" width="27.7109375" style="79" customWidth="1"/>
    <col min="14595" max="14845" width="8.85546875" style="79"/>
    <col min="14846" max="14846" width="108.140625" style="79" customWidth="1"/>
    <col min="14847" max="14850" width="27.7109375" style="79" customWidth="1"/>
    <col min="14851" max="15101" width="8.85546875" style="79"/>
    <col min="15102" max="15102" width="108.140625" style="79" customWidth="1"/>
    <col min="15103" max="15106" width="27.7109375" style="79" customWidth="1"/>
    <col min="15107" max="15357" width="8.85546875" style="79"/>
    <col min="15358" max="15358" width="108.140625" style="79" customWidth="1"/>
    <col min="15359" max="15362" width="27.7109375" style="79" customWidth="1"/>
    <col min="15363" max="15613" width="8.85546875" style="79"/>
    <col min="15614" max="15614" width="108.140625" style="79" customWidth="1"/>
    <col min="15615" max="15618" width="27.7109375" style="79" customWidth="1"/>
    <col min="15619" max="15869" width="8.85546875" style="79"/>
    <col min="15870" max="15870" width="108.140625" style="79" customWidth="1"/>
    <col min="15871" max="15874" width="27.7109375" style="79" customWidth="1"/>
    <col min="15875" max="16125" width="8.85546875" style="79"/>
    <col min="16126" max="16126" width="108.140625" style="79" customWidth="1"/>
    <col min="16127" max="16130" width="27.7109375" style="79" customWidth="1"/>
    <col min="16131" max="16384" width="8.85546875" style="79"/>
  </cols>
  <sheetData>
    <row r="1" spans="1:4" x14ac:dyDescent="0.25">
      <c r="D1" s="87" t="s">
        <v>190</v>
      </c>
    </row>
    <row r="2" spans="1:4" x14ac:dyDescent="0.25">
      <c r="D2" s="47" t="s">
        <v>191</v>
      </c>
    </row>
    <row r="3" spans="1:4" ht="53.25" customHeight="1" thickBot="1" x14ac:dyDescent="0.3">
      <c r="A3" s="122" t="s">
        <v>265</v>
      </c>
      <c r="B3" s="123"/>
      <c r="C3" s="123"/>
      <c r="D3" s="124"/>
    </row>
    <row r="4" spans="1:4" x14ac:dyDescent="0.25">
      <c r="C4" s="61"/>
      <c r="D4" s="97" t="s">
        <v>185</v>
      </c>
    </row>
    <row r="5" spans="1:4" x14ac:dyDescent="0.25">
      <c r="A5" s="91" t="s">
        <v>141</v>
      </c>
      <c r="B5" s="91" t="s">
        <v>194</v>
      </c>
      <c r="C5" s="91" t="s">
        <v>57</v>
      </c>
      <c r="D5" s="91" t="s">
        <v>77</v>
      </c>
    </row>
    <row r="6" spans="1:4" ht="25.5" x14ac:dyDescent="0.25">
      <c r="A6" s="84" t="s">
        <v>250</v>
      </c>
      <c r="B6" s="94"/>
      <c r="C6" s="98"/>
      <c r="D6" s="60"/>
    </row>
    <row r="7" spans="1:4" x14ac:dyDescent="0.25">
      <c r="A7" s="84" t="s">
        <v>251</v>
      </c>
      <c r="B7" s="94"/>
      <c r="C7" s="98"/>
      <c r="D7" s="60"/>
    </row>
    <row r="8" spans="1:4" ht="25.5" x14ac:dyDescent="0.25">
      <c r="A8" s="84" t="s">
        <v>252</v>
      </c>
      <c r="B8" s="94"/>
      <c r="C8" s="98"/>
      <c r="D8" s="60"/>
    </row>
    <row r="9" spans="1:4" ht="25.5" x14ac:dyDescent="0.25">
      <c r="A9" s="84" t="s">
        <v>253</v>
      </c>
      <c r="B9" s="94"/>
      <c r="C9" s="98"/>
      <c r="D9" s="60"/>
    </row>
    <row r="10" spans="1:4" x14ac:dyDescent="0.25">
      <c r="A10" s="84" t="s">
        <v>255</v>
      </c>
      <c r="B10" s="94"/>
      <c r="C10" s="98"/>
      <c r="D10" s="60"/>
    </row>
    <row r="11" spans="1:4" x14ac:dyDescent="0.25">
      <c r="A11" s="84" t="s">
        <v>239</v>
      </c>
      <c r="B11" s="94"/>
      <c r="C11" s="98"/>
      <c r="D11" s="82" t="s">
        <v>165</v>
      </c>
    </row>
    <row r="12" spans="1:4" x14ac:dyDescent="0.25">
      <c r="A12" s="84" t="s">
        <v>254</v>
      </c>
      <c r="B12" s="94"/>
      <c r="C12" s="98"/>
      <c r="D12" s="82"/>
    </row>
    <row r="13" spans="1:4" x14ac:dyDescent="0.25">
      <c r="A13" s="84" t="s">
        <v>162</v>
      </c>
      <c r="B13" s="94"/>
      <c r="C13" s="98"/>
      <c r="D13" s="82" t="s">
        <v>166</v>
      </c>
    </row>
    <row r="14" spans="1:4" ht="25.5" x14ac:dyDescent="0.25">
      <c r="A14" s="84" t="s">
        <v>143</v>
      </c>
      <c r="B14" s="94"/>
      <c r="C14" s="98"/>
      <c r="D14" s="82" t="s">
        <v>167</v>
      </c>
    </row>
    <row r="15" spans="1:4" s="80" customFormat="1" ht="105.75" customHeight="1" x14ac:dyDescent="0.25">
      <c r="A15" s="84" t="s">
        <v>164</v>
      </c>
      <c r="B15" s="94"/>
      <c r="C15" s="98"/>
      <c r="D15" s="83"/>
    </row>
    <row r="16" spans="1:4" x14ac:dyDescent="0.25">
      <c r="A16" s="84" t="s">
        <v>144</v>
      </c>
      <c r="B16" s="94"/>
      <c r="C16" s="98"/>
      <c r="D16" s="82" t="s">
        <v>168</v>
      </c>
    </row>
    <row r="17" spans="1:4" ht="90" x14ac:dyDescent="0.25">
      <c r="A17" s="84" t="s">
        <v>145</v>
      </c>
      <c r="B17" s="94"/>
      <c r="C17" s="98"/>
      <c r="D17" s="82" t="s">
        <v>169</v>
      </c>
    </row>
    <row r="18" spans="1:4" ht="45" x14ac:dyDescent="0.25">
      <c r="A18" s="84" t="s">
        <v>173</v>
      </c>
      <c r="B18" s="94"/>
      <c r="C18" s="98"/>
      <c r="D18" s="82" t="s">
        <v>170</v>
      </c>
    </row>
    <row r="19" spans="1:4" x14ac:dyDescent="0.25">
      <c r="A19" s="84" t="s">
        <v>146</v>
      </c>
      <c r="B19" s="94"/>
      <c r="C19" s="98"/>
      <c r="D19" s="82"/>
    </row>
    <row r="20" spans="1:4" ht="25.5" x14ac:dyDescent="0.25">
      <c r="A20" s="84" t="s">
        <v>147</v>
      </c>
      <c r="B20" s="94"/>
      <c r="C20" s="98"/>
      <c r="D20" s="82"/>
    </row>
    <row r="21" spans="1:4" x14ac:dyDescent="0.25">
      <c r="A21" s="84" t="s">
        <v>96</v>
      </c>
      <c r="B21" s="94"/>
      <c r="C21" s="98"/>
      <c r="D21" s="82"/>
    </row>
    <row r="22" spans="1:4" x14ac:dyDescent="0.25">
      <c r="A22" s="84" t="s">
        <v>148</v>
      </c>
      <c r="B22" s="94"/>
      <c r="C22" s="98"/>
      <c r="D22" s="82"/>
    </row>
    <row r="23" spans="1:4" x14ac:dyDescent="0.25">
      <c r="A23" s="84" t="s">
        <v>149</v>
      </c>
      <c r="B23" s="94"/>
      <c r="C23" s="98"/>
      <c r="D23" s="82"/>
    </row>
    <row r="24" spans="1:4" ht="25.5" x14ac:dyDescent="0.25">
      <c r="A24" s="84" t="s">
        <v>95</v>
      </c>
      <c r="B24" s="94"/>
      <c r="C24" s="98"/>
      <c r="D24" s="82"/>
    </row>
    <row r="25" spans="1:4" ht="25.5" x14ac:dyDescent="0.25">
      <c r="A25" s="84" t="s">
        <v>140</v>
      </c>
      <c r="B25" s="94"/>
      <c r="C25" s="98"/>
      <c r="D25" s="82"/>
    </row>
    <row r="26" spans="1:4" ht="38.25" x14ac:dyDescent="0.25">
      <c r="A26" s="84" t="s">
        <v>174</v>
      </c>
      <c r="B26" s="94"/>
      <c r="C26" s="98"/>
      <c r="D26" s="82"/>
    </row>
    <row r="27" spans="1:4" ht="25.5" x14ac:dyDescent="0.25">
      <c r="A27" s="84" t="s">
        <v>266</v>
      </c>
      <c r="B27" s="94"/>
      <c r="C27" s="98"/>
      <c r="D27" s="82"/>
    </row>
    <row r="28" spans="1:4" ht="28.5" customHeight="1" x14ac:dyDescent="0.25">
      <c r="A28" s="84" t="s">
        <v>137</v>
      </c>
      <c r="B28" s="94"/>
      <c r="C28" s="99"/>
      <c r="D28" s="82"/>
    </row>
    <row r="29" spans="1:4" ht="25.5" x14ac:dyDescent="0.25">
      <c r="A29" s="84" t="s">
        <v>248</v>
      </c>
      <c r="B29" s="94"/>
      <c r="C29" s="100"/>
      <c r="D29" s="82"/>
    </row>
    <row r="30" spans="1:4" x14ac:dyDescent="0.25">
      <c r="A30" s="84" t="s">
        <v>249</v>
      </c>
      <c r="B30" s="94"/>
      <c r="C30" s="100"/>
      <c r="D30" s="82"/>
    </row>
    <row r="34" spans="1:1" x14ac:dyDescent="0.25">
      <c r="A34" s="77">
        <v>0</v>
      </c>
    </row>
    <row r="35" spans="1:1" x14ac:dyDescent="0.25">
      <c r="A35" s="77">
        <v>1</v>
      </c>
    </row>
    <row r="36" spans="1:1" x14ac:dyDescent="0.25">
      <c r="A36" s="77">
        <v>2</v>
      </c>
    </row>
    <row r="37" spans="1:1" x14ac:dyDescent="0.25">
      <c r="A37" s="77">
        <v>3</v>
      </c>
    </row>
    <row r="38" spans="1:1" x14ac:dyDescent="0.25">
      <c r="A38" s="77">
        <v>4</v>
      </c>
    </row>
    <row r="39" spans="1:1" x14ac:dyDescent="0.25">
      <c r="A39" s="77">
        <v>5</v>
      </c>
    </row>
    <row r="40" spans="1:1" x14ac:dyDescent="0.25">
      <c r="A40" s="77"/>
    </row>
    <row r="41" spans="1:1" x14ac:dyDescent="0.25">
      <c r="A41" s="77"/>
    </row>
  </sheetData>
  <mergeCells count="1">
    <mergeCell ref="A3:D3"/>
  </mergeCells>
  <dataValidations count="1">
    <dataValidation type="list" allowBlank="1" showInputMessage="1" showErrorMessage="1" sqref="B6:B30">
      <formula1>$A$34:$A$39</formula1>
    </dataValidation>
  </dataValidations>
  <pageMargins left="0.7" right="0.7" top="0.75" bottom="0.75" header="0.3" footer="0.3"/>
  <pageSetup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C61"/>
  <sheetViews>
    <sheetView zoomScale="40" zoomScaleNormal="40" workbookViewId="0">
      <pane xSplit="1" ySplit="1" topLeftCell="B2" activePane="bottomRight" state="frozen"/>
      <selection activeCell="M26" sqref="M26"/>
      <selection pane="topRight" activeCell="M26" sqref="M26"/>
      <selection pane="bottomLeft" activeCell="M26" sqref="M26"/>
      <selection pane="bottomRight" activeCell="D15" sqref="D15"/>
    </sheetView>
  </sheetViews>
  <sheetFormatPr defaultColWidth="11.5703125" defaultRowHeight="12.75" x14ac:dyDescent="0.2"/>
  <cols>
    <col min="1" max="1" width="19.28515625" bestFit="1" customWidth="1"/>
    <col min="2" max="2" width="33.28515625" bestFit="1" customWidth="1"/>
    <col min="3" max="3" width="29.85546875" style="31" customWidth="1"/>
    <col min="4" max="4" width="43" bestFit="1" customWidth="1"/>
    <col min="5" max="5" width="31.42578125" bestFit="1" customWidth="1"/>
    <col min="6" max="6" width="28.5703125" bestFit="1" customWidth="1"/>
    <col min="7" max="7" width="32.5703125" bestFit="1" customWidth="1"/>
    <col min="8" max="8" width="31.5703125" bestFit="1" customWidth="1"/>
    <col min="9" max="9" width="33.28515625" bestFit="1" customWidth="1"/>
    <col min="10" max="10" width="33.85546875" bestFit="1" customWidth="1"/>
    <col min="11" max="11" width="27" bestFit="1" customWidth="1"/>
    <col min="12" max="12" width="19.42578125" bestFit="1" customWidth="1"/>
    <col min="13" max="13" width="38.85546875" bestFit="1" customWidth="1"/>
    <col min="14" max="14" width="38" bestFit="1" customWidth="1"/>
    <col min="15" max="15" width="34" bestFit="1" customWidth="1"/>
    <col min="16" max="16" width="30" bestFit="1" customWidth="1"/>
    <col min="17" max="17" width="22" bestFit="1" customWidth="1"/>
    <col min="18" max="18" width="39.42578125" bestFit="1" customWidth="1"/>
    <col min="19" max="19" width="35.5703125" bestFit="1" customWidth="1"/>
    <col min="20" max="20" width="37.85546875" style="1" bestFit="1" customWidth="1"/>
    <col min="21" max="21" width="27" bestFit="1" customWidth="1"/>
    <col min="22" max="22" width="27" style="31" customWidth="1"/>
    <col min="23" max="23" width="37.28515625" bestFit="1" customWidth="1"/>
    <col min="24" max="24" width="33.85546875" bestFit="1" customWidth="1"/>
    <col min="25" max="25" width="27.7109375" bestFit="1" customWidth="1"/>
    <col min="26" max="26" width="21.28515625" bestFit="1" customWidth="1"/>
    <col min="27" max="27" width="30.85546875" bestFit="1" customWidth="1"/>
    <col min="28" max="28" width="60.7109375" bestFit="1" customWidth="1"/>
    <col min="29" max="29" width="19.42578125" bestFit="1" customWidth="1"/>
  </cols>
  <sheetData>
    <row r="1" spans="1:29" ht="19.5" thickBot="1" x14ac:dyDescent="0.35">
      <c r="A1" s="3" t="s">
        <v>97</v>
      </c>
      <c r="B1" s="3" t="s">
        <v>60</v>
      </c>
      <c r="C1" s="3" t="s">
        <v>163</v>
      </c>
      <c r="D1" s="3" t="s">
        <v>61</v>
      </c>
      <c r="E1" s="3" t="s">
        <v>62</v>
      </c>
      <c r="F1" s="3" t="s">
        <v>63</v>
      </c>
      <c r="G1" s="3" t="s">
        <v>64</v>
      </c>
      <c r="H1" s="3" t="s">
        <v>65</v>
      </c>
      <c r="I1" s="3" t="s">
        <v>66</v>
      </c>
      <c r="J1" s="3" t="s">
        <v>113</v>
      </c>
      <c r="K1" s="3" t="s">
        <v>67</v>
      </c>
      <c r="L1" s="3" t="s">
        <v>68</v>
      </c>
      <c r="M1" s="3" t="s">
        <v>69</v>
      </c>
      <c r="N1" s="3" t="s">
        <v>70</v>
      </c>
      <c r="O1" s="4" t="s">
        <v>114</v>
      </c>
      <c r="P1" s="4" t="s">
        <v>115</v>
      </c>
      <c r="Q1" s="3" t="s">
        <v>71</v>
      </c>
      <c r="R1" s="4" t="s">
        <v>59</v>
      </c>
      <c r="S1" s="4" t="s">
        <v>116</v>
      </c>
      <c r="T1" s="17" t="s">
        <v>119</v>
      </c>
      <c r="U1" s="3" t="s">
        <v>72</v>
      </c>
      <c r="V1" s="3" t="s">
        <v>161</v>
      </c>
      <c r="W1" s="3" t="s">
        <v>73</v>
      </c>
      <c r="X1" s="3" t="s">
        <v>117</v>
      </c>
      <c r="Y1" s="3" t="s">
        <v>74</v>
      </c>
      <c r="Z1" s="3" t="s">
        <v>75</v>
      </c>
      <c r="AA1" s="3" t="s">
        <v>76</v>
      </c>
      <c r="AB1" s="3" t="s">
        <v>58</v>
      </c>
      <c r="AC1" s="3" t="s">
        <v>118</v>
      </c>
    </row>
    <row r="2" spans="1:29" ht="56.25" x14ac:dyDescent="0.3">
      <c r="A2" s="5" t="s">
        <v>109</v>
      </c>
      <c r="B2" s="6" t="s">
        <v>158</v>
      </c>
      <c r="C2" s="23" t="s">
        <v>177</v>
      </c>
      <c r="D2" s="6" t="s">
        <v>41</v>
      </c>
      <c r="E2" s="6" t="s">
        <v>178</v>
      </c>
      <c r="F2" s="6" t="s">
        <v>179</v>
      </c>
      <c r="G2" s="6" t="s">
        <v>107</v>
      </c>
      <c r="H2" s="6" t="s">
        <v>180</v>
      </c>
      <c r="I2" s="6" t="s">
        <v>84</v>
      </c>
      <c r="J2" s="6">
        <v>2016</v>
      </c>
      <c r="K2" s="30" t="s">
        <v>152</v>
      </c>
      <c r="L2" s="6" t="s">
        <v>153</v>
      </c>
      <c r="M2" s="6">
        <v>4</v>
      </c>
      <c r="N2" s="6">
        <v>16</v>
      </c>
      <c r="O2" s="7">
        <v>0.35</v>
      </c>
      <c r="P2" s="7">
        <v>0.6</v>
      </c>
      <c r="Q2" s="6">
        <v>128</v>
      </c>
      <c r="R2" s="7">
        <v>0.4</v>
      </c>
      <c r="S2" s="7">
        <v>0.7</v>
      </c>
      <c r="T2" s="18">
        <v>500</v>
      </c>
      <c r="U2" s="6" t="s">
        <v>131</v>
      </c>
      <c r="V2" s="6" t="s">
        <v>181</v>
      </c>
      <c r="W2" s="6" t="s">
        <v>182</v>
      </c>
      <c r="X2" s="6" t="s">
        <v>155</v>
      </c>
      <c r="Y2" s="6" t="s">
        <v>80</v>
      </c>
      <c r="Z2" s="6" t="s">
        <v>81</v>
      </c>
      <c r="AA2" s="6" t="s">
        <v>82</v>
      </c>
      <c r="AB2" s="38" t="s">
        <v>183</v>
      </c>
      <c r="AC2" s="8"/>
    </row>
    <row r="3" spans="1:29" s="21" customFormat="1" ht="18.75" x14ac:dyDescent="0.3">
      <c r="A3" s="22"/>
      <c r="B3" s="23"/>
      <c r="C3" s="23"/>
      <c r="D3" s="23"/>
      <c r="E3" s="23"/>
      <c r="F3" s="23"/>
      <c r="G3" s="23"/>
      <c r="H3" s="23"/>
      <c r="I3" s="23"/>
      <c r="J3" s="23"/>
      <c r="K3" s="23"/>
      <c r="L3" s="23"/>
      <c r="M3" s="23"/>
      <c r="N3" s="23"/>
      <c r="O3" s="24"/>
      <c r="P3" s="24"/>
      <c r="Q3" s="23"/>
      <c r="R3" s="24"/>
      <c r="S3" s="24"/>
      <c r="T3" s="25"/>
      <c r="U3" s="23"/>
      <c r="V3" s="23"/>
      <c r="W3" s="23"/>
      <c r="X3" s="23"/>
      <c r="Y3" s="23"/>
      <c r="Z3" s="23"/>
      <c r="AA3" s="23"/>
      <c r="AB3" s="23"/>
      <c r="AC3" s="26"/>
    </row>
    <row r="4" spans="1:29" s="21" customFormat="1" ht="18.75" x14ac:dyDescent="0.3">
      <c r="A4" s="22"/>
      <c r="B4" s="23"/>
      <c r="C4" s="23"/>
      <c r="D4" s="23"/>
      <c r="E4" s="23"/>
      <c r="F4" s="23"/>
      <c r="G4" s="23"/>
      <c r="H4" s="23"/>
      <c r="I4" s="23"/>
      <c r="J4" s="23"/>
      <c r="K4" s="23"/>
      <c r="L4" s="23"/>
      <c r="M4" s="23"/>
      <c r="N4" s="23"/>
      <c r="O4" s="24"/>
      <c r="P4" s="24"/>
      <c r="Q4" s="23"/>
      <c r="R4" s="24"/>
      <c r="S4" s="24"/>
      <c r="T4" s="25"/>
      <c r="U4" s="23"/>
      <c r="V4" s="23"/>
      <c r="W4" s="23"/>
      <c r="X4" s="23"/>
      <c r="Y4" s="23"/>
      <c r="Z4" s="23"/>
      <c r="AA4" s="23"/>
      <c r="AB4" s="23"/>
      <c r="AC4" s="26"/>
    </row>
    <row r="5" spans="1:29" s="21" customFormat="1" ht="18.75" x14ac:dyDescent="0.3">
      <c r="A5" s="22"/>
      <c r="B5" s="23"/>
      <c r="C5" s="23"/>
      <c r="D5" s="23"/>
      <c r="E5" s="23"/>
      <c r="F5" s="23"/>
      <c r="G5" s="23"/>
      <c r="H5" s="23"/>
      <c r="I5" s="23"/>
      <c r="J5" s="23"/>
      <c r="K5" s="23"/>
      <c r="L5" s="23"/>
      <c r="M5" s="23"/>
      <c r="N5" s="23"/>
      <c r="O5" s="24"/>
      <c r="P5" s="24"/>
      <c r="Q5" s="23"/>
      <c r="R5" s="24"/>
      <c r="S5" s="24"/>
      <c r="T5" s="25"/>
      <c r="U5" s="23"/>
      <c r="V5" s="23"/>
      <c r="W5" s="23"/>
      <c r="X5" s="23"/>
      <c r="Y5" s="23"/>
      <c r="Z5" s="23"/>
      <c r="AA5" s="23"/>
      <c r="AB5" s="23"/>
      <c r="AC5" s="26"/>
    </row>
    <row r="6" spans="1:29" s="21" customFormat="1" ht="18.75" x14ac:dyDescent="0.3">
      <c r="A6" s="22"/>
      <c r="B6" s="23"/>
      <c r="C6" s="23"/>
      <c r="D6" s="23"/>
      <c r="E6" s="23"/>
      <c r="F6" s="23"/>
      <c r="G6" s="23"/>
      <c r="H6" s="23"/>
      <c r="I6" s="23"/>
      <c r="J6" s="23"/>
      <c r="K6" s="23"/>
      <c r="L6" s="23"/>
      <c r="M6" s="23"/>
      <c r="N6" s="23"/>
      <c r="O6" s="24"/>
      <c r="P6" s="24"/>
      <c r="Q6" s="23"/>
      <c r="R6" s="24"/>
      <c r="S6" s="24"/>
      <c r="T6" s="25"/>
      <c r="U6" s="23"/>
      <c r="V6" s="23"/>
      <c r="W6" s="23"/>
      <c r="X6" s="23"/>
      <c r="Y6" s="23"/>
      <c r="Z6" s="23"/>
      <c r="AA6" s="23"/>
      <c r="AB6" s="23"/>
      <c r="AC6" s="26"/>
    </row>
    <row r="7" spans="1:29" s="21" customFormat="1" ht="18.75" x14ac:dyDescent="0.3">
      <c r="A7" s="22"/>
      <c r="B7" s="23"/>
      <c r="C7" s="23"/>
      <c r="D7" s="23"/>
      <c r="E7" s="23"/>
      <c r="F7" s="23"/>
      <c r="G7" s="23"/>
      <c r="H7" s="23"/>
      <c r="I7" s="23"/>
      <c r="J7" s="23"/>
      <c r="K7" s="23"/>
      <c r="L7" s="23"/>
      <c r="M7" s="23"/>
      <c r="N7" s="23"/>
      <c r="O7" s="24"/>
      <c r="P7" s="24"/>
      <c r="Q7" s="23"/>
      <c r="R7" s="24"/>
      <c r="S7" s="24"/>
      <c r="T7" s="25"/>
      <c r="U7" s="23"/>
      <c r="V7" s="23"/>
      <c r="W7" s="23"/>
      <c r="X7" s="23"/>
      <c r="Y7" s="23"/>
      <c r="Z7" s="23"/>
      <c r="AA7" s="23"/>
      <c r="AB7" s="23"/>
      <c r="AC7" s="26"/>
    </row>
    <row r="8" spans="1:29" s="21" customFormat="1" ht="18.75" x14ac:dyDescent="0.3">
      <c r="A8" s="22"/>
      <c r="B8" s="23"/>
      <c r="C8" s="23"/>
      <c r="D8" s="23"/>
      <c r="E8" s="23"/>
      <c r="F8" s="23"/>
      <c r="G8" s="23"/>
      <c r="H8" s="23"/>
      <c r="I8" s="23"/>
      <c r="J8" s="23"/>
      <c r="K8" s="23"/>
      <c r="L8" s="23"/>
      <c r="M8" s="23"/>
      <c r="N8" s="23"/>
      <c r="O8" s="24"/>
      <c r="P8" s="24"/>
      <c r="Q8" s="23"/>
      <c r="R8" s="24"/>
      <c r="S8" s="24"/>
      <c r="T8" s="25"/>
      <c r="U8" s="23"/>
      <c r="V8" s="23"/>
      <c r="W8" s="23"/>
      <c r="X8" s="23"/>
      <c r="Y8" s="23"/>
      <c r="Z8" s="23"/>
      <c r="AA8" s="23"/>
      <c r="AB8" s="23"/>
      <c r="AC8" s="26"/>
    </row>
    <row r="9" spans="1:29" s="21" customFormat="1" ht="18.75" x14ac:dyDescent="0.3">
      <c r="A9" s="22"/>
      <c r="B9" s="23"/>
      <c r="C9" s="23"/>
      <c r="D9" s="23"/>
      <c r="E9" s="23"/>
      <c r="F9" s="23"/>
      <c r="G9" s="23"/>
      <c r="H9" s="23"/>
      <c r="I9" s="23"/>
      <c r="J9" s="23"/>
      <c r="K9" s="23"/>
      <c r="L9" s="23"/>
      <c r="M9" s="23"/>
      <c r="N9" s="23"/>
      <c r="O9" s="24"/>
      <c r="P9" s="24"/>
      <c r="Q9" s="23"/>
      <c r="R9" s="24"/>
      <c r="S9" s="24"/>
      <c r="T9" s="25"/>
      <c r="U9" s="23"/>
      <c r="V9" s="23"/>
      <c r="W9" s="23"/>
      <c r="X9" s="23"/>
      <c r="Y9" s="23"/>
      <c r="Z9" s="23"/>
      <c r="AA9" s="23"/>
      <c r="AB9" s="23"/>
      <c r="AC9" s="26"/>
    </row>
    <row r="10" spans="1:29" s="21" customFormat="1" ht="18.75" x14ac:dyDescent="0.3">
      <c r="A10" s="22"/>
      <c r="B10" s="23"/>
      <c r="C10" s="23"/>
      <c r="D10" s="23"/>
      <c r="E10" s="23"/>
      <c r="F10" s="23"/>
      <c r="G10" s="23"/>
      <c r="H10" s="23"/>
      <c r="I10" s="23"/>
      <c r="J10" s="23"/>
      <c r="K10" s="23"/>
      <c r="L10" s="23"/>
      <c r="M10" s="23"/>
      <c r="N10" s="23"/>
      <c r="O10" s="24"/>
      <c r="P10" s="24"/>
      <c r="Q10" s="23"/>
      <c r="R10" s="24"/>
      <c r="S10" s="24"/>
      <c r="T10" s="25"/>
      <c r="U10" s="23"/>
      <c r="V10" s="23"/>
      <c r="W10" s="23"/>
      <c r="X10" s="23"/>
      <c r="Y10" s="23"/>
      <c r="Z10" s="23"/>
      <c r="AA10" s="23"/>
      <c r="AB10" s="23"/>
      <c r="AC10" s="26"/>
    </row>
    <row r="11" spans="1:29" ht="18.75" x14ac:dyDescent="0.3">
      <c r="A11" s="9"/>
      <c r="B11" s="10"/>
      <c r="C11" s="23"/>
      <c r="D11" s="10"/>
      <c r="E11" s="10"/>
      <c r="F11" s="10"/>
      <c r="G11" s="10"/>
      <c r="H11" s="10"/>
      <c r="I11" s="10"/>
      <c r="J11" s="10"/>
      <c r="K11" s="10"/>
      <c r="L11" s="10"/>
      <c r="M11" s="10"/>
      <c r="N11" s="10"/>
      <c r="O11" s="11"/>
      <c r="P11" s="11"/>
      <c r="Q11" s="10"/>
      <c r="R11" s="11"/>
      <c r="S11" s="11"/>
      <c r="T11" s="19"/>
      <c r="U11" s="10"/>
      <c r="V11" s="10"/>
      <c r="W11" s="10"/>
      <c r="X11" s="10"/>
      <c r="Y11" s="10"/>
      <c r="Z11" s="10"/>
      <c r="AA11" s="10"/>
      <c r="AB11" s="10"/>
      <c r="AC11" s="12"/>
    </row>
    <row r="12" spans="1:29" ht="18.75" x14ac:dyDescent="0.3">
      <c r="A12" s="9"/>
      <c r="B12" s="10"/>
      <c r="C12" s="23"/>
      <c r="D12" s="10"/>
      <c r="E12" s="10"/>
      <c r="F12" s="10"/>
      <c r="G12" s="10"/>
      <c r="H12" s="10"/>
      <c r="I12" s="10"/>
      <c r="J12" s="10"/>
      <c r="K12" s="10"/>
      <c r="L12" s="10"/>
      <c r="M12" s="10"/>
      <c r="N12" s="10"/>
      <c r="O12" s="11"/>
      <c r="P12" s="11"/>
      <c r="Q12" s="10"/>
      <c r="R12" s="11"/>
      <c r="S12" s="11"/>
      <c r="T12" s="19"/>
      <c r="U12" s="10"/>
      <c r="V12" s="10"/>
      <c r="W12" s="10"/>
      <c r="X12" s="10"/>
      <c r="Y12" s="10"/>
      <c r="Z12" s="10"/>
      <c r="AA12" s="10"/>
      <c r="AB12" s="10"/>
      <c r="AC12" s="12"/>
    </row>
    <row r="13" spans="1:29" ht="19.5" thickBot="1" x14ac:dyDescent="0.35">
      <c r="A13" s="13"/>
      <c r="B13" s="14"/>
      <c r="C13" s="14"/>
      <c r="D13" s="14"/>
      <c r="E13" s="14"/>
      <c r="F13" s="14"/>
      <c r="G13" s="14"/>
      <c r="H13" s="14"/>
      <c r="I13" s="14"/>
      <c r="J13" s="14"/>
      <c r="K13" s="14"/>
      <c r="L13" s="14"/>
      <c r="M13" s="14"/>
      <c r="N13" s="14"/>
      <c r="O13" s="15"/>
      <c r="P13" s="15"/>
      <c r="Q13" s="14"/>
      <c r="R13" s="15"/>
      <c r="S13" s="15"/>
      <c r="T13" s="20"/>
      <c r="U13" s="14"/>
      <c r="V13" s="14"/>
      <c r="W13" s="14"/>
      <c r="X13" s="14"/>
      <c r="Y13" s="14"/>
      <c r="Z13" s="14"/>
      <c r="AA13" s="14"/>
      <c r="AB13" s="14"/>
      <c r="AC13" s="16"/>
    </row>
    <row r="14" spans="1:29" ht="18.75" x14ac:dyDescent="0.3">
      <c r="A14" s="5" t="s">
        <v>110</v>
      </c>
      <c r="B14" s="6" t="s">
        <v>127</v>
      </c>
      <c r="C14" s="23"/>
      <c r="D14" s="6" t="s">
        <v>41</v>
      </c>
      <c r="E14" s="6" t="s">
        <v>151</v>
      </c>
      <c r="F14" s="6"/>
      <c r="G14" s="6" t="s">
        <v>108</v>
      </c>
      <c r="H14" s="6" t="s">
        <v>78</v>
      </c>
      <c r="I14" s="30"/>
      <c r="J14" s="6"/>
      <c r="K14" s="6"/>
      <c r="L14" s="6" t="s">
        <v>153</v>
      </c>
      <c r="M14" s="6"/>
      <c r="N14" s="6">
        <v>16</v>
      </c>
      <c r="O14" s="7"/>
      <c r="P14" s="7"/>
      <c r="Q14" s="6">
        <v>96</v>
      </c>
      <c r="R14" s="7"/>
      <c r="S14" s="7"/>
      <c r="T14" s="18">
        <v>300</v>
      </c>
      <c r="U14" s="6" t="s">
        <v>128</v>
      </c>
      <c r="V14" s="6"/>
      <c r="W14" s="6" t="s">
        <v>154</v>
      </c>
      <c r="X14" s="6" t="s">
        <v>155</v>
      </c>
      <c r="Y14" s="6" t="s">
        <v>80</v>
      </c>
      <c r="Z14" s="6" t="s">
        <v>81</v>
      </c>
      <c r="AA14" s="6" t="s">
        <v>82</v>
      </c>
      <c r="AB14" s="32" t="s">
        <v>83</v>
      </c>
      <c r="AC14" s="33" t="s">
        <v>77</v>
      </c>
    </row>
    <row r="15" spans="1:29" s="21" customFormat="1" ht="18.75" x14ac:dyDescent="0.3">
      <c r="A15" s="22"/>
      <c r="B15" s="23"/>
      <c r="C15" s="23"/>
      <c r="D15" s="23"/>
      <c r="E15" s="23"/>
      <c r="F15" s="23"/>
      <c r="G15" s="23"/>
      <c r="H15" s="23"/>
      <c r="I15" s="23"/>
      <c r="J15" s="23"/>
      <c r="K15" s="23"/>
      <c r="L15" s="23"/>
      <c r="M15" s="23"/>
      <c r="N15" s="23"/>
      <c r="O15" s="24"/>
      <c r="P15" s="24"/>
      <c r="Q15" s="23"/>
      <c r="R15" s="24"/>
      <c r="S15" s="24"/>
      <c r="T15" s="25"/>
      <c r="U15" s="23"/>
      <c r="V15" s="23"/>
      <c r="W15" s="23"/>
      <c r="X15" s="23"/>
      <c r="Y15" s="23"/>
      <c r="Z15" s="23"/>
      <c r="AA15" s="23"/>
      <c r="AB15" s="23"/>
      <c r="AC15" s="26"/>
    </row>
    <row r="16" spans="1:29" s="21" customFormat="1" ht="18.75" x14ac:dyDescent="0.3">
      <c r="A16" s="22"/>
      <c r="B16" s="23"/>
      <c r="C16" s="23"/>
      <c r="D16" s="23"/>
      <c r="E16" s="23"/>
      <c r="F16" s="23"/>
      <c r="G16" s="23"/>
      <c r="H16" s="23"/>
      <c r="I16" s="23"/>
      <c r="J16" s="23"/>
      <c r="K16" s="23"/>
      <c r="L16" s="23"/>
      <c r="M16" s="23"/>
      <c r="N16" s="23"/>
      <c r="O16" s="24"/>
      <c r="P16" s="24"/>
      <c r="Q16" s="23"/>
      <c r="R16" s="24"/>
      <c r="S16" s="24"/>
      <c r="T16" s="25"/>
      <c r="U16" s="23"/>
      <c r="V16" s="23"/>
      <c r="W16" s="23"/>
      <c r="X16" s="23"/>
      <c r="Y16" s="23"/>
      <c r="Z16" s="23"/>
      <c r="AA16" s="23"/>
      <c r="AB16" s="23"/>
      <c r="AC16" s="26"/>
    </row>
    <row r="17" spans="1:29" s="21" customFormat="1" ht="18.75" x14ac:dyDescent="0.3">
      <c r="A17" s="22"/>
      <c r="B17" s="23"/>
      <c r="C17" s="23"/>
      <c r="D17" s="23"/>
      <c r="E17" s="23"/>
      <c r="F17" s="23"/>
      <c r="G17" s="23"/>
      <c r="H17" s="23"/>
      <c r="I17" s="23"/>
      <c r="J17" s="23"/>
      <c r="K17" s="23"/>
      <c r="L17" s="23"/>
      <c r="M17" s="23"/>
      <c r="N17" s="23"/>
      <c r="O17" s="24"/>
      <c r="P17" s="24"/>
      <c r="Q17" s="23"/>
      <c r="R17" s="24"/>
      <c r="S17" s="24"/>
      <c r="T17" s="25"/>
      <c r="U17" s="23"/>
      <c r="V17" s="23"/>
      <c r="W17" s="23"/>
      <c r="X17" s="23"/>
      <c r="Y17" s="23"/>
      <c r="Z17" s="23"/>
      <c r="AA17" s="23"/>
      <c r="AB17" s="23"/>
      <c r="AC17" s="26"/>
    </row>
    <row r="18" spans="1:29" s="21" customFormat="1" ht="18.75" x14ac:dyDescent="0.3">
      <c r="A18" s="22"/>
      <c r="B18" s="23"/>
      <c r="C18" s="23"/>
      <c r="D18" s="23"/>
      <c r="E18" s="23"/>
      <c r="F18" s="23"/>
      <c r="G18" s="23"/>
      <c r="H18" s="23"/>
      <c r="I18" s="23"/>
      <c r="J18" s="23"/>
      <c r="K18" s="23"/>
      <c r="L18" s="23"/>
      <c r="M18" s="23"/>
      <c r="N18" s="23"/>
      <c r="O18" s="24"/>
      <c r="P18" s="24"/>
      <c r="Q18" s="23"/>
      <c r="R18" s="24"/>
      <c r="S18" s="24"/>
      <c r="T18" s="25"/>
      <c r="U18" s="23"/>
      <c r="V18" s="23"/>
      <c r="W18" s="23"/>
      <c r="X18" s="23"/>
      <c r="Y18" s="23"/>
      <c r="Z18" s="23"/>
      <c r="AA18" s="23"/>
      <c r="AB18" s="23"/>
      <c r="AC18" s="26"/>
    </row>
    <row r="19" spans="1:29" s="21" customFormat="1" ht="18.75" x14ac:dyDescent="0.3">
      <c r="A19" s="22"/>
      <c r="B19" s="23"/>
      <c r="C19" s="23"/>
      <c r="D19" s="23"/>
      <c r="E19" s="23"/>
      <c r="F19" s="23"/>
      <c r="G19" s="23"/>
      <c r="H19" s="23"/>
      <c r="I19" s="23"/>
      <c r="J19" s="23"/>
      <c r="K19" s="23"/>
      <c r="L19" s="23"/>
      <c r="M19" s="23"/>
      <c r="N19" s="23"/>
      <c r="O19" s="24"/>
      <c r="P19" s="24"/>
      <c r="Q19" s="23"/>
      <c r="R19" s="24"/>
      <c r="S19" s="24"/>
      <c r="T19" s="25"/>
      <c r="U19" s="23"/>
      <c r="V19" s="23"/>
      <c r="W19" s="23"/>
      <c r="X19" s="23"/>
      <c r="Y19" s="23"/>
      <c r="Z19" s="23"/>
      <c r="AA19" s="23"/>
      <c r="AB19" s="23"/>
      <c r="AC19" s="26"/>
    </row>
    <row r="20" spans="1:29" s="21" customFormat="1" ht="18.75" x14ac:dyDescent="0.3">
      <c r="A20" s="22"/>
      <c r="B20" s="23"/>
      <c r="C20" s="23"/>
      <c r="D20" s="23"/>
      <c r="E20" s="23"/>
      <c r="F20" s="23"/>
      <c r="G20" s="23"/>
      <c r="H20" s="23"/>
      <c r="I20" s="23"/>
      <c r="J20" s="23"/>
      <c r="K20" s="23"/>
      <c r="L20" s="23"/>
      <c r="M20" s="23"/>
      <c r="N20" s="23"/>
      <c r="O20" s="24"/>
      <c r="P20" s="24"/>
      <c r="Q20" s="23"/>
      <c r="R20" s="24"/>
      <c r="S20" s="24"/>
      <c r="T20" s="25"/>
      <c r="U20" s="23"/>
      <c r="V20" s="23"/>
      <c r="W20" s="23"/>
      <c r="X20" s="23"/>
      <c r="Y20" s="23"/>
      <c r="Z20" s="23"/>
      <c r="AA20" s="23"/>
      <c r="AB20" s="23"/>
      <c r="AC20" s="26"/>
    </row>
    <row r="21" spans="1:29" s="21" customFormat="1" ht="18.75" x14ac:dyDescent="0.3">
      <c r="A21" s="22"/>
      <c r="B21" s="23"/>
      <c r="C21" s="23"/>
      <c r="D21" s="23"/>
      <c r="E21" s="23"/>
      <c r="F21" s="23"/>
      <c r="G21" s="23"/>
      <c r="H21" s="23"/>
      <c r="I21" s="23"/>
      <c r="J21" s="23"/>
      <c r="K21" s="23"/>
      <c r="L21" s="23"/>
      <c r="M21" s="23"/>
      <c r="N21" s="23"/>
      <c r="O21" s="24"/>
      <c r="P21" s="24"/>
      <c r="Q21" s="23"/>
      <c r="R21" s="24"/>
      <c r="S21" s="24"/>
      <c r="T21" s="25"/>
      <c r="U21" s="23"/>
      <c r="V21" s="23"/>
      <c r="W21" s="23"/>
      <c r="X21" s="23"/>
      <c r="Y21" s="23"/>
      <c r="Z21" s="23"/>
      <c r="AA21" s="23"/>
      <c r="AB21" s="23"/>
      <c r="AC21" s="26"/>
    </row>
    <row r="22" spans="1:29" s="21" customFormat="1" ht="18.75" x14ac:dyDescent="0.3">
      <c r="A22" s="22"/>
      <c r="B22" s="23"/>
      <c r="C22" s="23"/>
      <c r="D22" s="23"/>
      <c r="E22" s="23"/>
      <c r="F22" s="23"/>
      <c r="G22" s="23"/>
      <c r="H22" s="23"/>
      <c r="I22" s="23"/>
      <c r="J22" s="23"/>
      <c r="K22" s="23"/>
      <c r="L22" s="23"/>
      <c r="M22" s="23"/>
      <c r="N22" s="23"/>
      <c r="O22" s="24"/>
      <c r="P22" s="24"/>
      <c r="Q22" s="23"/>
      <c r="R22" s="24"/>
      <c r="S22" s="24"/>
      <c r="T22" s="25"/>
      <c r="U22" s="23"/>
      <c r="V22" s="23"/>
      <c r="W22" s="23"/>
      <c r="X22" s="23"/>
      <c r="Y22" s="23"/>
      <c r="Z22" s="23"/>
      <c r="AA22" s="23"/>
      <c r="AB22" s="23"/>
      <c r="AC22" s="26"/>
    </row>
    <row r="23" spans="1:29" s="21" customFormat="1" ht="18.75" x14ac:dyDescent="0.3">
      <c r="A23" s="22"/>
      <c r="B23" s="23"/>
      <c r="C23" s="23"/>
      <c r="D23" s="23"/>
      <c r="E23" s="23"/>
      <c r="F23" s="23"/>
      <c r="G23" s="23"/>
      <c r="H23" s="23"/>
      <c r="I23" s="23"/>
      <c r="J23" s="23"/>
      <c r="K23" s="23"/>
      <c r="L23" s="23"/>
      <c r="M23" s="23"/>
      <c r="N23" s="23"/>
      <c r="O23" s="24"/>
      <c r="P23" s="24"/>
      <c r="Q23" s="23"/>
      <c r="R23" s="24"/>
      <c r="S23" s="24"/>
      <c r="T23" s="25"/>
      <c r="U23" s="23"/>
      <c r="V23" s="23"/>
      <c r="W23" s="23"/>
      <c r="X23" s="23"/>
      <c r="Y23" s="23"/>
      <c r="Z23" s="23"/>
      <c r="AA23" s="23"/>
      <c r="AB23" s="23"/>
      <c r="AC23" s="26"/>
    </row>
    <row r="24" spans="1:29" s="21" customFormat="1" ht="18.75" x14ac:dyDescent="0.3">
      <c r="A24" s="22"/>
      <c r="B24" s="23"/>
      <c r="C24" s="23"/>
      <c r="D24" s="23"/>
      <c r="E24" s="23"/>
      <c r="F24" s="23"/>
      <c r="G24" s="23"/>
      <c r="H24" s="23"/>
      <c r="I24" s="23"/>
      <c r="J24" s="23"/>
      <c r="K24" s="23"/>
      <c r="L24" s="23"/>
      <c r="M24" s="23"/>
      <c r="N24" s="23"/>
      <c r="O24" s="24"/>
      <c r="P24" s="24"/>
      <c r="Q24" s="23"/>
      <c r="R24" s="24"/>
      <c r="S24" s="24"/>
      <c r="T24" s="25"/>
      <c r="U24" s="23"/>
      <c r="V24" s="23"/>
      <c r="W24" s="23"/>
      <c r="X24" s="23"/>
      <c r="Y24" s="23"/>
      <c r="Z24" s="23"/>
      <c r="AA24" s="23"/>
      <c r="AB24" s="23"/>
      <c r="AC24" s="26"/>
    </row>
    <row r="25" spans="1:29" s="21" customFormat="1" ht="18.75" x14ac:dyDescent="0.3">
      <c r="A25" s="22"/>
      <c r="B25" s="23"/>
      <c r="C25" s="23"/>
      <c r="D25" s="23"/>
      <c r="E25" s="23"/>
      <c r="F25" s="23"/>
      <c r="G25" s="23"/>
      <c r="H25" s="23"/>
      <c r="I25" s="23"/>
      <c r="J25" s="23"/>
      <c r="K25" s="23"/>
      <c r="L25" s="23"/>
      <c r="M25" s="23"/>
      <c r="N25" s="23"/>
      <c r="O25" s="24"/>
      <c r="P25" s="24"/>
      <c r="Q25" s="23"/>
      <c r="R25" s="24"/>
      <c r="S25" s="24"/>
      <c r="T25" s="25"/>
      <c r="U25" s="23"/>
      <c r="V25" s="23"/>
      <c r="W25" s="23"/>
      <c r="X25" s="23"/>
      <c r="Y25" s="23"/>
      <c r="Z25" s="23"/>
      <c r="AA25" s="23"/>
      <c r="AB25" s="23"/>
      <c r="AC25" s="26"/>
    </row>
    <row r="26" spans="1:29" s="21" customFormat="1" ht="18.75" x14ac:dyDescent="0.3">
      <c r="A26" s="22"/>
      <c r="B26" s="23"/>
      <c r="C26" s="23"/>
      <c r="D26" s="23"/>
      <c r="E26" s="23"/>
      <c r="F26" s="23"/>
      <c r="G26" s="23"/>
      <c r="H26" s="23"/>
      <c r="I26" s="23"/>
      <c r="J26" s="23"/>
      <c r="K26" s="23"/>
      <c r="L26" s="23"/>
      <c r="M26" s="23"/>
      <c r="N26" s="23"/>
      <c r="O26" s="24"/>
      <c r="P26" s="24"/>
      <c r="Q26" s="23"/>
      <c r="R26" s="24"/>
      <c r="S26" s="24"/>
      <c r="T26" s="25"/>
      <c r="U26" s="23"/>
      <c r="V26" s="23"/>
      <c r="W26" s="23"/>
      <c r="X26" s="23"/>
      <c r="Y26" s="23"/>
      <c r="Z26" s="23"/>
      <c r="AA26" s="23"/>
      <c r="AB26" s="23"/>
      <c r="AC26" s="26"/>
    </row>
    <row r="27" spans="1:29" s="21" customFormat="1" ht="18.75" x14ac:dyDescent="0.3">
      <c r="A27" s="22"/>
      <c r="B27" s="23"/>
      <c r="C27" s="23"/>
      <c r="D27" s="23"/>
      <c r="E27" s="23"/>
      <c r="F27" s="23"/>
      <c r="G27" s="23"/>
      <c r="H27" s="23"/>
      <c r="I27" s="23"/>
      <c r="J27" s="23"/>
      <c r="K27" s="23"/>
      <c r="L27" s="23"/>
      <c r="M27" s="23"/>
      <c r="N27" s="23"/>
      <c r="O27" s="24"/>
      <c r="P27" s="24"/>
      <c r="Q27" s="23"/>
      <c r="R27" s="24"/>
      <c r="S27" s="24"/>
      <c r="T27" s="25"/>
      <c r="U27" s="23"/>
      <c r="V27" s="23"/>
      <c r="W27" s="23"/>
      <c r="X27" s="23"/>
      <c r="Y27" s="23"/>
      <c r="Z27" s="23"/>
      <c r="AA27" s="23"/>
      <c r="AB27" s="23"/>
      <c r="AC27" s="26"/>
    </row>
    <row r="28" spans="1:29" ht="18.75" x14ac:dyDescent="0.3">
      <c r="A28" s="9"/>
      <c r="B28" s="10"/>
      <c r="C28" s="23"/>
      <c r="D28" s="10"/>
      <c r="E28" s="10"/>
      <c r="F28" s="10"/>
      <c r="G28" s="10"/>
      <c r="H28" s="10"/>
      <c r="I28" s="10"/>
      <c r="J28" s="10"/>
      <c r="K28" s="10"/>
      <c r="L28" s="10"/>
      <c r="M28" s="10"/>
      <c r="N28" s="10"/>
      <c r="O28" s="11"/>
      <c r="P28" s="11"/>
      <c r="Q28" s="10"/>
      <c r="R28" s="11"/>
      <c r="S28" s="11"/>
      <c r="T28" s="19"/>
      <c r="U28" s="10"/>
      <c r="V28" s="10"/>
      <c r="W28" s="10"/>
      <c r="X28" s="10"/>
      <c r="Y28" s="10"/>
      <c r="Z28" s="10"/>
      <c r="AA28" s="10"/>
      <c r="AB28" s="10"/>
      <c r="AC28" s="12"/>
    </row>
    <row r="29" spans="1:29" ht="18.75" x14ac:dyDescent="0.3">
      <c r="A29" s="9"/>
      <c r="B29" s="10"/>
      <c r="C29" s="23"/>
      <c r="D29" s="10"/>
      <c r="E29" s="10"/>
      <c r="F29" s="10"/>
      <c r="G29" s="10"/>
      <c r="H29" s="10"/>
      <c r="I29" s="10"/>
      <c r="J29" s="10"/>
      <c r="K29" s="10"/>
      <c r="L29" s="10"/>
      <c r="M29" s="10"/>
      <c r="N29" s="10"/>
      <c r="O29" s="11"/>
      <c r="P29" s="11"/>
      <c r="Q29" s="10"/>
      <c r="R29" s="11"/>
      <c r="S29" s="11"/>
      <c r="T29" s="19"/>
      <c r="U29" s="10"/>
      <c r="V29" s="10"/>
      <c r="W29" s="10"/>
      <c r="X29" s="10"/>
      <c r="Y29" s="10"/>
      <c r="Z29" s="10"/>
      <c r="AA29" s="10"/>
      <c r="AB29" s="10"/>
      <c r="AC29" s="12"/>
    </row>
    <row r="30" spans="1:29" ht="19.5" thickBot="1" x14ac:dyDescent="0.35">
      <c r="A30" s="13"/>
      <c r="B30" s="14"/>
      <c r="C30" s="14"/>
      <c r="D30" s="14"/>
      <c r="E30" s="14"/>
      <c r="F30" s="14"/>
      <c r="G30" s="14"/>
      <c r="H30" s="14"/>
      <c r="I30" s="14"/>
      <c r="J30" s="14"/>
      <c r="K30" s="14"/>
      <c r="L30" s="14"/>
      <c r="M30" s="14"/>
      <c r="N30" s="14"/>
      <c r="O30" s="15"/>
      <c r="P30" s="15"/>
      <c r="Q30" s="14"/>
      <c r="R30" s="15"/>
      <c r="S30" s="15"/>
      <c r="T30" s="20"/>
      <c r="U30" s="14"/>
      <c r="V30" s="14"/>
      <c r="W30" s="14"/>
      <c r="X30" s="14"/>
      <c r="Y30" s="14"/>
      <c r="Z30" s="14"/>
      <c r="AA30" s="14"/>
      <c r="AB30" s="14"/>
      <c r="AC30" s="16"/>
    </row>
    <row r="31" spans="1:29" ht="18.75" x14ac:dyDescent="0.3">
      <c r="A31" s="5" t="s">
        <v>111</v>
      </c>
      <c r="B31" s="6" t="s">
        <v>100</v>
      </c>
      <c r="C31" s="23"/>
      <c r="D31" s="6" t="s">
        <v>41</v>
      </c>
      <c r="E31" s="6" t="s">
        <v>156</v>
      </c>
      <c r="F31" s="6"/>
      <c r="G31" s="6" t="s">
        <v>107</v>
      </c>
      <c r="H31" s="6" t="s">
        <v>78</v>
      </c>
      <c r="I31" s="6" t="s">
        <v>84</v>
      </c>
      <c r="J31" s="6">
        <v>2008</v>
      </c>
      <c r="K31" s="6" t="s">
        <v>85</v>
      </c>
      <c r="L31" s="6" t="s">
        <v>86</v>
      </c>
      <c r="M31" s="6">
        <v>4</v>
      </c>
      <c r="N31" s="6">
        <v>8</v>
      </c>
      <c r="O31" s="7">
        <v>0.05</v>
      </c>
      <c r="P31" s="7">
        <v>0.5</v>
      </c>
      <c r="Q31" s="6" t="s">
        <v>87</v>
      </c>
      <c r="R31" s="7">
        <v>0.1</v>
      </c>
      <c r="S31" s="7">
        <v>0.85</v>
      </c>
      <c r="T31" s="18">
        <v>2500</v>
      </c>
      <c r="U31" s="6" t="s">
        <v>88</v>
      </c>
      <c r="V31" s="6"/>
      <c r="W31" s="6" t="s">
        <v>89</v>
      </c>
      <c r="X31" s="6" t="s">
        <v>79</v>
      </c>
      <c r="Y31" s="6" t="s">
        <v>90</v>
      </c>
      <c r="Z31" s="6" t="s">
        <v>0</v>
      </c>
      <c r="AA31" s="6"/>
      <c r="AB31" s="6" t="s">
        <v>91</v>
      </c>
      <c r="AC31" s="8" t="s">
        <v>77</v>
      </c>
    </row>
    <row r="32" spans="1:29" s="21" customFormat="1" ht="18.75" x14ac:dyDescent="0.3">
      <c r="A32" s="22"/>
      <c r="B32" s="23"/>
      <c r="C32" s="23"/>
      <c r="D32" s="23"/>
      <c r="E32" s="23"/>
      <c r="F32" s="23"/>
      <c r="G32" s="23"/>
      <c r="H32" s="23"/>
      <c r="I32" s="23"/>
      <c r="J32" s="23"/>
      <c r="K32" s="23"/>
      <c r="L32" s="23"/>
      <c r="M32" s="23"/>
      <c r="N32" s="23"/>
      <c r="O32" s="24"/>
      <c r="P32" s="24"/>
      <c r="Q32" s="23"/>
      <c r="R32" s="24"/>
      <c r="S32" s="24"/>
      <c r="T32" s="25"/>
      <c r="U32" s="23"/>
      <c r="V32" s="23"/>
      <c r="W32" s="23"/>
      <c r="X32" s="23"/>
      <c r="Y32" s="23"/>
      <c r="Z32" s="23"/>
      <c r="AA32" s="23"/>
      <c r="AB32" s="23"/>
      <c r="AC32" s="26"/>
    </row>
    <row r="33" spans="1:29" s="21" customFormat="1" ht="18.75" x14ac:dyDescent="0.3">
      <c r="A33" s="22"/>
      <c r="B33" s="23"/>
      <c r="C33" s="23"/>
      <c r="D33" s="23"/>
      <c r="E33" s="23"/>
      <c r="F33" s="23"/>
      <c r="G33" s="23"/>
      <c r="H33" s="23"/>
      <c r="I33" s="23"/>
      <c r="J33" s="23"/>
      <c r="K33" s="23"/>
      <c r="L33" s="23"/>
      <c r="M33" s="23"/>
      <c r="N33" s="23"/>
      <c r="O33" s="24"/>
      <c r="P33" s="24"/>
      <c r="Q33" s="23"/>
      <c r="R33" s="24"/>
      <c r="S33" s="24"/>
      <c r="T33" s="25"/>
      <c r="U33" s="23"/>
      <c r="V33" s="23"/>
      <c r="W33" s="23"/>
      <c r="X33" s="23"/>
      <c r="Y33" s="23"/>
      <c r="Z33" s="23"/>
      <c r="AA33" s="23"/>
      <c r="AB33" s="23"/>
      <c r="AC33" s="26"/>
    </row>
    <row r="34" spans="1:29" s="21" customFormat="1" ht="18.75" x14ac:dyDescent="0.3">
      <c r="A34" s="22"/>
      <c r="B34" s="23"/>
      <c r="C34" s="23"/>
      <c r="D34" s="23"/>
      <c r="E34" s="23"/>
      <c r="F34" s="23"/>
      <c r="G34" s="23"/>
      <c r="H34" s="23"/>
      <c r="I34" s="23"/>
      <c r="J34" s="23"/>
      <c r="K34" s="23"/>
      <c r="L34" s="23"/>
      <c r="M34" s="23"/>
      <c r="N34" s="23"/>
      <c r="O34" s="24"/>
      <c r="P34" s="24"/>
      <c r="Q34" s="23"/>
      <c r="R34" s="24"/>
      <c r="S34" s="24"/>
      <c r="T34" s="25"/>
      <c r="U34" s="23"/>
      <c r="V34" s="23"/>
      <c r="W34" s="23"/>
      <c r="X34" s="23"/>
      <c r="Y34" s="23"/>
      <c r="Z34" s="23"/>
      <c r="AA34" s="23"/>
      <c r="AB34" s="23"/>
      <c r="AC34" s="26"/>
    </row>
    <row r="35" spans="1:29" s="21" customFormat="1" ht="18.75" x14ac:dyDescent="0.3">
      <c r="A35" s="22"/>
      <c r="B35" s="23"/>
      <c r="C35" s="23"/>
      <c r="D35" s="23"/>
      <c r="E35" s="23"/>
      <c r="F35" s="23"/>
      <c r="G35" s="23"/>
      <c r="H35" s="23"/>
      <c r="I35" s="23"/>
      <c r="J35" s="23"/>
      <c r="K35" s="23"/>
      <c r="L35" s="23"/>
      <c r="M35" s="23"/>
      <c r="N35" s="23"/>
      <c r="O35" s="24"/>
      <c r="P35" s="24"/>
      <c r="Q35" s="23"/>
      <c r="R35" s="24"/>
      <c r="S35" s="24"/>
      <c r="T35" s="25"/>
      <c r="U35" s="23"/>
      <c r="V35" s="23"/>
      <c r="W35" s="23"/>
      <c r="X35" s="23"/>
      <c r="Y35" s="23"/>
      <c r="Z35" s="23"/>
      <c r="AA35" s="23"/>
      <c r="AB35" s="23"/>
      <c r="AC35" s="26"/>
    </row>
    <row r="36" spans="1:29" s="21" customFormat="1" ht="18.75" x14ac:dyDescent="0.3">
      <c r="A36" s="22"/>
      <c r="B36" s="23"/>
      <c r="C36" s="23"/>
      <c r="D36" s="23"/>
      <c r="E36" s="23"/>
      <c r="F36" s="23"/>
      <c r="G36" s="23"/>
      <c r="H36" s="23"/>
      <c r="I36" s="23"/>
      <c r="J36" s="23"/>
      <c r="K36" s="23"/>
      <c r="L36" s="23"/>
      <c r="M36" s="23"/>
      <c r="N36" s="23"/>
      <c r="O36" s="24"/>
      <c r="P36" s="24"/>
      <c r="Q36" s="23"/>
      <c r="R36" s="24"/>
      <c r="S36" s="24"/>
      <c r="T36" s="25"/>
      <c r="U36" s="23"/>
      <c r="V36" s="23"/>
      <c r="W36" s="23"/>
      <c r="X36" s="23"/>
      <c r="Y36" s="23"/>
      <c r="Z36" s="23"/>
      <c r="AA36" s="23"/>
      <c r="AB36" s="23"/>
      <c r="AC36" s="26"/>
    </row>
    <row r="37" spans="1:29" s="21" customFormat="1" ht="18.75" x14ac:dyDescent="0.3">
      <c r="A37" s="22"/>
      <c r="B37" s="23"/>
      <c r="C37" s="23"/>
      <c r="D37" s="23"/>
      <c r="E37" s="23"/>
      <c r="F37" s="23"/>
      <c r="G37" s="23"/>
      <c r="H37" s="23"/>
      <c r="I37" s="23"/>
      <c r="J37" s="23"/>
      <c r="K37" s="23"/>
      <c r="L37" s="23"/>
      <c r="M37" s="23"/>
      <c r="N37" s="23"/>
      <c r="O37" s="24"/>
      <c r="P37" s="24"/>
      <c r="Q37" s="23"/>
      <c r="R37" s="24"/>
      <c r="S37" s="24"/>
      <c r="T37" s="25"/>
      <c r="U37" s="23"/>
      <c r="V37" s="23"/>
      <c r="W37" s="23"/>
      <c r="X37" s="23"/>
      <c r="Y37" s="23"/>
      <c r="Z37" s="23"/>
      <c r="AA37" s="23"/>
      <c r="AB37" s="23"/>
      <c r="AC37" s="26"/>
    </row>
    <row r="38" spans="1:29" s="21" customFormat="1" ht="18.75" x14ac:dyDescent="0.3">
      <c r="A38" s="22"/>
      <c r="B38" s="23"/>
      <c r="C38" s="23"/>
      <c r="D38" s="23"/>
      <c r="E38" s="23"/>
      <c r="F38" s="23"/>
      <c r="G38" s="23"/>
      <c r="H38" s="23"/>
      <c r="I38" s="23"/>
      <c r="J38" s="23"/>
      <c r="K38" s="23"/>
      <c r="L38" s="23"/>
      <c r="M38" s="23"/>
      <c r="N38" s="23"/>
      <c r="O38" s="24"/>
      <c r="P38" s="24"/>
      <c r="Q38" s="23"/>
      <c r="R38" s="24"/>
      <c r="S38" s="24"/>
      <c r="T38" s="25"/>
      <c r="U38" s="23"/>
      <c r="V38" s="23"/>
      <c r="W38" s="23"/>
      <c r="X38" s="23"/>
      <c r="Y38" s="23"/>
      <c r="Z38" s="23"/>
      <c r="AA38" s="23"/>
      <c r="AB38" s="23"/>
      <c r="AC38" s="26"/>
    </row>
    <row r="39" spans="1:29" s="21" customFormat="1" ht="18.75" x14ac:dyDescent="0.3">
      <c r="A39" s="22"/>
      <c r="B39" s="23"/>
      <c r="C39" s="23"/>
      <c r="D39" s="23"/>
      <c r="E39" s="23"/>
      <c r="F39" s="23"/>
      <c r="G39" s="23"/>
      <c r="H39" s="23"/>
      <c r="I39" s="23"/>
      <c r="J39" s="23"/>
      <c r="K39" s="23"/>
      <c r="L39" s="23"/>
      <c r="M39" s="23"/>
      <c r="N39" s="23"/>
      <c r="O39" s="24"/>
      <c r="P39" s="24"/>
      <c r="Q39" s="23"/>
      <c r="R39" s="24"/>
      <c r="S39" s="24"/>
      <c r="T39" s="25"/>
      <c r="U39" s="23"/>
      <c r="V39" s="23"/>
      <c r="W39" s="23"/>
      <c r="X39" s="23"/>
      <c r="Y39" s="23"/>
      <c r="Z39" s="23"/>
      <c r="AA39" s="23"/>
      <c r="AB39" s="23"/>
      <c r="AC39" s="26"/>
    </row>
    <row r="40" spans="1:29" s="21" customFormat="1" ht="18.75" x14ac:dyDescent="0.3">
      <c r="A40" s="22"/>
      <c r="B40" s="23"/>
      <c r="C40" s="23"/>
      <c r="D40" s="23"/>
      <c r="E40" s="23"/>
      <c r="F40" s="23"/>
      <c r="G40" s="23"/>
      <c r="H40" s="23"/>
      <c r="I40" s="23"/>
      <c r="J40" s="23"/>
      <c r="K40" s="23"/>
      <c r="L40" s="23"/>
      <c r="M40" s="23"/>
      <c r="N40" s="23"/>
      <c r="O40" s="24"/>
      <c r="P40" s="24"/>
      <c r="Q40" s="23"/>
      <c r="R40" s="24"/>
      <c r="S40" s="24"/>
      <c r="T40" s="25"/>
      <c r="U40" s="23"/>
      <c r="V40" s="23"/>
      <c r="W40" s="23"/>
      <c r="X40" s="23"/>
      <c r="Y40" s="23"/>
      <c r="Z40" s="23"/>
      <c r="AA40" s="23"/>
      <c r="AB40" s="23"/>
      <c r="AC40" s="26"/>
    </row>
    <row r="41" spans="1:29" s="21" customFormat="1" ht="18.75" x14ac:dyDescent="0.3">
      <c r="A41" s="22"/>
      <c r="B41" s="23"/>
      <c r="C41" s="23"/>
      <c r="D41" s="23"/>
      <c r="E41" s="23"/>
      <c r="F41" s="23"/>
      <c r="G41" s="23"/>
      <c r="H41" s="23"/>
      <c r="I41" s="23"/>
      <c r="J41" s="23"/>
      <c r="K41" s="23"/>
      <c r="L41" s="23"/>
      <c r="M41" s="23"/>
      <c r="N41" s="23"/>
      <c r="O41" s="24"/>
      <c r="P41" s="24"/>
      <c r="Q41" s="23"/>
      <c r="R41" s="24"/>
      <c r="S41" s="24"/>
      <c r="T41" s="25"/>
      <c r="U41" s="23"/>
      <c r="V41" s="23"/>
      <c r="W41" s="23"/>
      <c r="X41" s="23"/>
      <c r="Y41" s="23"/>
      <c r="Z41" s="23"/>
      <c r="AA41" s="23"/>
      <c r="AB41" s="23"/>
      <c r="AC41" s="26"/>
    </row>
    <row r="42" spans="1:29" s="21" customFormat="1" ht="18.75" x14ac:dyDescent="0.3">
      <c r="A42" s="22"/>
      <c r="B42" s="23"/>
      <c r="C42" s="23"/>
      <c r="D42" s="23"/>
      <c r="E42" s="23"/>
      <c r="F42" s="23"/>
      <c r="G42" s="23"/>
      <c r="H42" s="23"/>
      <c r="I42" s="23"/>
      <c r="J42" s="23"/>
      <c r="K42" s="23"/>
      <c r="L42" s="23"/>
      <c r="M42" s="23"/>
      <c r="N42" s="23"/>
      <c r="O42" s="24"/>
      <c r="P42" s="24"/>
      <c r="Q42" s="23"/>
      <c r="R42" s="24"/>
      <c r="S42" s="24"/>
      <c r="T42" s="25"/>
      <c r="U42" s="23"/>
      <c r="V42" s="23"/>
      <c r="W42" s="23"/>
      <c r="X42" s="23"/>
      <c r="Y42" s="23"/>
      <c r="Z42" s="23"/>
      <c r="AA42" s="23"/>
      <c r="AB42" s="23"/>
      <c r="AC42" s="26"/>
    </row>
    <row r="43" spans="1:29" ht="18.75" x14ac:dyDescent="0.3">
      <c r="A43" s="9"/>
      <c r="B43" s="10"/>
      <c r="C43" s="23"/>
      <c r="D43" s="10"/>
      <c r="E43" s="10"/>
      <c r="F43" s="10"/>
      <c r="G43" s="10"/>
      <c r="H43" s="10"/>
      <c r="I43" s="10"/>
      <c r="J43" s="10"/>
      <c r="K43" s="10"/>
      <c r="L43" s="10"/>
      <c r="M43" s="10"/>
      <c r="N43" s="10"/>
      <c r="O43" s="11"/>
      <c r="P43" s="11"/>
      <c r="Q43" s="10"/>
      <c r="R43" s="11"/>
      <c r="S43" s="11"/>
      <c r="T43" s="19"/>
      <c r="U43" s="10"/>
      <c r="V43" s="10"/>
      <c r="W43" s="10"/>
      <c r="X43" s="10"/>
      <c r="Y43" s="10"/>
      <c r="Z43" s="10"/>
      <c r="AA43" s="10"/>
      <c r="AB43" s="10"/>
      <c r="AC43" s="12"/>
    </row>
    <row r="44" spans="1:29" ht="18.75" x14ac:dyDescent="0.3">
      <c r="A44" s="9"/>
      <c r="B44" s="10"/>
      <c r="C44" s="23"/>
      <c r="D44" s="10"/>
      <c r="E44" s="10"/>
      <c r="F44" s="10"/>
      <c r="G44" s="10"/>
      <c r="H44" s="10"/>
      <c r="I44" s="10"/>
      <c r="J44" s="10"/>
      <c r="K44" s="10"/>
      <c r="L44" s="10"/>
      <c r="M44" s="10"/>
      <c r="N44" s="10"/>
      <c r="O44" s="11"/>
      <c r="P44" s="11"/>
      <c r="Q44" s="10"/>
      <c r="R44" s="11"/>
      <c r="S44" s="11"/>
      <c r="T44" s="19"/>
      <c r="U44" s="10"/>
      <c r="V44" s="10"/>
      <c r="W44" s="10"/>
      <c r="X44" s="10"/>
      <c r="Y44" s="10"/>
      <c r="Z44" s="10"/>
      <c r="AA44" s="10"/>
      <c r="AB44" s="10"/>
      <c r="AC44" s="12"/>
    </row>
    <row r="45" spans="1:29" ht="19.5" thickBot="1" x14ac:dyDescent="0.35">
      <c r="A45" s="13"/>
      <c r="B45" s="14"/>
      <c r="C45" s="14"/>
      <c r="D45" s="14"/>
      <c r="E45" s="14"/>
      <c r="F45" s="14"/>
      <c r="G45" s="14"/>
      <c r="H45" s="14"/>
      <c r="I45" s="14"/>
      <c r="J45" s="14"/>
      <c r="K45" s="14"/>
      <c r="L45" s="14"/>
      <c r="M45" s="14"/>
      <c r="N45" s="14"/>
      <c r="O45" s="15"/>
      <c r="P45" s="15"/>
      <c r="Q45" s="14"/>
      <c r="R45" s="15"/>
      <c r="S45" s="15"/>
      <c r="T45" s="20"/>
      <c r="U45" s="14"/>
      <c r="V45" s="14"/>
      <c r="W45" s="14"/>
      <c r="X45" s="14"/>
      <c r="Y45" s="14"/>
      <c r="Z45" s="14"/>
      <c r="AA45" s="14"/>
      <c r="AB45" s="14"/>
      <c r="AC45" s="16"/>
    </row>
    <row r="46" spans="1:29" ht="18.75" x14ac:dyDescent="0.3">
      <c r="A46" s="5" t="s">
        <v>112</v>
      </c>
      <c r="B46" s="6" t="s">
        <v>98</v>
      </c>
      <c r="C46" s="23"/>
      <c r="D46" s="6"/>
      <c r="E46" s="6"/>
      <c r="F46" s="6"/>
      <c r="G46" s="6"/>
      <c r="H46" s="6"/>
      <c r="I46" s="6"/>
      <c r="J46" s="6"/>
      <c r="K46" s="6"/>
      <c r="L46" s="6"/>
      <c r="M46" s="6"/>
      <c r="N46" s="6"/>
      <c r="O46" s="7"/>
      <c r="P46" s="7"/>
      <c r="Q46" s="6"/>
      <c r="R46" s="7"/>
      <c r="S46" s="7"/>
      <c r="T46" s="18"/>
      <c r="U46" s="6"/>
      <c r="V46" s="6"/>
      <c r="W46" s="6"/>
      <c r="X46" s="6"/>
      <c r="Y46" s="6"/>
      <c r="Z46" s="6"/>
      <c r="AA46" s="6"/>
      <c r="AB46" s="6"/>
      <c r="AC46" s="8"/>
    </row>
    <row r="47" spans="1:29" s="21" customFormat="1" ht="18.75" x14ac:dyDescent="0.3">
      <c r="A47" s="22"/>
      <c r="B47" s="23"/>
      <c r="C47" s="23"/>
      <c r="D47" s="23"/>
      <c r="E47" s="23"/>
      <c r="F47" s="23"/>
      <c r="G47" s="23"/>
      <c r="H47" s="23"/>
      <c r="I47" s="23"/>
      <c r="J47" s="23"/>
      <c r="K47" s="23"/>
      <c r="L47" s="23"/>
      <c r="M47" s="23"/>
      <c r="N47" s="23"/>
      <c r="O47" s="24"/>
      <c r="P47" s="24"/>
      <c r="Q47" s="23"/>
      <c r="R47" s="24"/>
      <c r="S47" s="24"/>
      <c r="T47" s="25"/>
      <c r="U47" s="23"/>
      <c r="V47" s="23"/>
      <c r="W47" s="23"/>
      <c r="X47" s="23"/>
      <c r="Y47" s="23"/>
      <c r="Z47" s="23"/>
      <c r="AA47" s="23"/>
      <c r="AB47" s="23"/>
      <c r="AC47" s="26"/>
    </row>
    <row r="48" spans="1:29" s="21" customFormat="1" ht="18.75" x14ac:dyDescent="0.3">
      <c r="A48" s="22"/>
      <c r="B48" s="23"/>
      <c r="C48" s="23"/>
      <c r="D48" s="23"/>
      <c r="E48" s="23"/>
      <c r="F48" s="23"/>
      <c r="G48" s="23"/>
      <c r="H48" s="23"/>
      <c r="I48" s="23"/>
      <c r="J48" s="23"/>
      <c r="K48" s="23"/>
      <c r="L48" s="23"/>
      <c r="M48" s="23"/>
      <c r="N48" s="23"/>
      <c r="O48" s="24"/>
      <c r="P48" s="24"/>
      <c r="Q48" s="23"/>
      <c r="R48" s="24"/>
      <c r="S48" s="24"/>
      <c r="T48" s="25"/>
      <c r="U48" s="23"/>
      <c r="V48" s="23"/>
      <c r="W48" s="23"/>
      <c r="X48" s="23"/>
      <c r="Y48" s="23"/>
      <c r="Z48" s="23"/>
      <c r="AA48" s="23"/>
      <c r="AB48" s="23"/>
      <c r="AC48" s="26"/>
    </row>
    <row r="49" spans="1:29" s="21" customFormat="1" ht="18.75" x14ac:dyDescent="0.3">
      <c r="A49" s="22"/>
      <c r="B49" s="23"/>
      <c r="C49" s="23"/>
      <c r="D49" s="23"/>
      <c r="E49" s="23"/>
      <c r="F49" s="23"/>
      <c r="G49" s="23"/>
      <c r="H49" s="23"/>
      <c r="I49" s="23"/>
      <c r="J49" s="23"/>
      <c r="K49" s="23"/>
      <c r="L49" s="23"/>
      <c r="M49" s="23"/>
      <c r="N49" s="23"/>
      <c r="O49" s="24"/>
      <c r="P49" s="24"/>
      <c r="Q49" s="23"/>
      <c r="R49" s="24"/>
      <c r="S49" s="24"/>
      <c r="T49" s="25"/>
      <c r="U49" s="23"/>
      <c r="V49" s="23"/>
      <c r="W49" s="23"/>
      <c r="X49" s="23"/>
      <c r="Y49" s="23"/>
      <c r="Z49" s="23"/>
      <c r="AA49" s="23"/>
      <c r="AB49" s="23"/>
      <c r="AC49" s="26"/>
    </row>
    <row r="50" spans="1:29" s="21" customFormat="1" ht="18.75" x14ac:dyDescent="0.3">
      <c r="A50" s="22"/>
      <c r="B50" s="23"/>
      <c r="C50" s="23"/>
      <c r="D50" s="23"/>
      <c r="E50" s="23"/>
      <c r="F50" s="23"/>
      <c r="G50" s="23"/>
      <c r="H50" s="23"/>
      <c r="I50" s="23"/>
      <c r="J50" s="23"/>
      <c r="K50" s="23"/>
      <c r="L50" s="23"/>
      <c r="M50" s="23"/>
      <c r="N50" s="23"/>
      <c r="O50" s="24"/>
      <c r="P50" s="24"/>
      <c r="Q50" s="23"/>
      <c r="R50" s="24"/>
      <c r="S50" s="24"/>
      <c r="T50" s="25"/>
      <c r="U50" s="23"/>
      <c r="V50" s="23"/>
      <c r="W50" s="23"/>
      <c r="X50" s="23"/>
      <c r="Y50" s="23"/>
      <c r="Z50" s="23"/>
      <c r="AA50" s="23"/>
      <c r="AB50" s="23"/>
      <c r="AC50" s="26"/>
    </row>
    <row r="51" spans="1:29" s="21" customFormat="1" ht="18.75" x14ac:dyDescent="0.3">
      <c r="A51" s="22" t="s">
        <v>184</v>
      </c>
      <c r="B51" s="23"/>
      <c r="C51" s="23"/>
      <c r="D51" s="23"/>
      <c r="E51" s="23"/>
      <c r="F51" s="23"/>
      <c r="G51" s="23"/>
      <c r="H51" s="23"/>
      <c r="I51" s="23"/>
      <c r="J51" s="23"/>
      <c r="K51" s="23"/>
      <c r="L51" s="23"/>
      <c r="M51" s="23"/>
      <c r="N51" s="23"/>
      <c r="O51" s="24"/>
      <c r="P51" s="24"/>
      <c r="Q51" s="23"/>
      <c r="R51" s="24"/>
      <c r="S51" s="24"/>
      <c r="T51" s="25"/>
      <c r="U51" s="23"/>
      <c r="V51" s="23"/>
      <c r="W51" s="23"/>
      <c r="X51" s="23"/>
      <c r="Y51" s="23"/>
      <c r="Z51" s="23"/>
      <c r="AA51" s="23"/>
      <c r="AB51" s="23"/>
      <c r="AC51" s="26"/>
    </row>
    <row r="52" spans="1:29" ht="18.75" x14ac:dyDescent="0.3">
      <c r="A52" s="9"/>
      <c r="B52" s="10"/>
      <c r="C52" s="23"/>
      <c r="D52" s="10"/>
      <c r="E52" s="10"/>
      <c r="F52" s="10"/>
      <c r="G52" s="10"/>
      <c r="H52" s="10"/>
      <c r="I52" s="10"/>
      <c r="J52" s="10"/>
      <c r="K52" s="10"/>
      <c r="L52" s="10"/>
      <c r="M52" s="10"/>
      <c r="N52" s="10"/>
      <c r="O52" s="11"/>
      <c r="P52" s="11"/>
      <c r="Q52" s="10"/>
      <c r="R52" s="11"/>
      <c r="S52" s="11"/>
      <c r="T52" s="19"/>
      <c r="U52" s="10"/>
      <c r="V52" s="10"/>
      <c r="W52" s="10"/>
      <c r="X52" s="10"/>
      <c r="Y52" s="10"/>
      <c r="Z52" s="10"/>
      <c r="AA52" s="10"/>
      <c r="AB52" s="10"/>
      <c r="AC52" s="12"/>
    </row>
    <row r="53" spans="1:29" ht="18.75" x14ac:dyDescent="0.3">
      <c r="A53" s="9"/>
      <c r="B53" s="10"/>
      <c r="C53" s="23"/>
      <c r="D53" s="10"/>
      <c r="E53" s="10"/>
      <c r="F53" s="10"/>
      <c r="G53" s="10"/>
      <c r="H53" s="10"/>
      <c r="I53" s="10"/>
      <c r="J53" s="10"/>
      <c r="K53" s="10"/>
      <c r="L53" s="10"/>
      <c r="M53" s="10"/>
      <c r="N53" s="10"/>
      <c r="O53" s="11"/>
      <c r="P53" s="11"/>
      <c r="Q53" s="10"/>
      <c r="R53" s="11"/>
      <c r="S53" s="11"/>
      <c r="T53" s="19"/>
      <c r="U53" s="10"/>
      <c r="V53" s="10"/>
      <c r="W53" s="10"/>
      <c r="X53" s="10"/>
      <c r="Y53" s="10"/>
      <c r="Z53" s="10"/>
      <c r="AA53" s="10"/>
      <c r="AB53" s="10"/>
      <c r="AC53" s="12"/>
    </row>
    <row r="54" spans="1:29" ht="18.75" x14ac:dyDescent="0.3">
      <c r="A54" s="9"/>
      <c r="B54" s="10"/>
      <c r="C54" s="23"/>
      <c r="D54" s="10"/>
      <c r="E54" s="10"/>
      <c r="F54" s="10"/>
      <c r="G54" s="10"/>
      <c r="H54" s="10"/>
      <c r="I54" s="10"/>
      <c r="J54" s="10"/>
      <c r="K54" s="10"/>
      <c r="L54" s="10"/>
      <c r="M54" s="10"/>
      <c r="N54" s="10"/>
      <c r="O54" s="11"/>
      <c r="P54" s="11"/>
      <c r="Q54" s="10"/>
      <c r="R54" s="11"/>
      <c r="S54" s="11"/>
      <c r="T54" s="19"/>
      <c r="U54" s="10"/>
      <c r="V54" s="10"/>
      <c r="W54" s="10"/>
      <c r="X54" s="10"/>
      <c r="Y54" s="10"/>
      <c r="Z54" s="10"/>
      <c r="AA54" s="10"/>
      <c r="AB54" s="10"/>
      <c r="AC54" s="12"/>
    </row>
    <row r="55" spans="1:29" ht="18.75" x14ac:dyDescent="0.3">
      <c r="A55" s="34"/>
      <c r="B55" s="35"/>
      <c r="C55" s="23"/>
      <c r="D55" s="35"/>
      <c r="E55" s="35"/>
      <c r="F55" s="35"/>
      <c r="G55" s="35"/>
      <c r="H55" s="35"/>
      <c r="I55" s="35"/>
      <c r="J55" s="35"/>
      <c r="K55" s="35"/>
      <c r="L55" s="35"/>
      <c r="M55" s="35"/>
      <c r="N55" s="35"/>
      <c r="O55" s="35"/>
      <c r="P55" s="35"/>
      <c r="Q55" s="35"/>
      <c r="R55" s="35"/>
      <c r="S55" s="35"/>
      <c r="T55" s="36"/>
      <c r="U55" s="35"/>
      <c r="V55" s="35"/>
      <c r="W55" s="35"/>
      <c r="X55" s="35"/>
      <c r="Y55" s="35"/>
      <c r="Z55" s="35"/>
      <c r="AA55" s="35"/>
      <c r="AB55" s="35"/>
      <c r="AC55" s="37"/>
    </row>
    <row r="56" spans="1:29" ht="18.75" x14ac:dyDescent="0.3">
      <c r="A56" s="34"/>
      <c r="B56" s="35"/>
      <c r="C56" s="23"/>
      <c r="D56" s="35"/>
      <c r="E56" s="35"/>
      <c r="F56" s="35"/>
      <c r="G56" s="35"/>
      <c r="H56" s="35"/>
      <c r="I56" s="35"/>
      <c r="J56" s="35"/>
      <c r="K56" s="35"/>
      <c r="L56" s="35"/>
      <c r="M56" s="35"/>
      <c r="N56" s="35"/>
      <c r="O56" s="35"/>
      <c r="P56" s="35"/>
      <c r="Q56" s="35"/>
      <c r="R56" s="35"/>
      <c r="S56" s="35"/>
      <c r="T56" s="36"/>
      <c r="U56" s="35"/>
      <c r="V56" s="35"/>
      <c r="W56" s="35"/>
      <c r="X56" s="35"/>
      <c r="Y56" s="35"/>
      <c r="Z56" s="35"/>
      <c r="AA56" s="35"/>
      <c r="AB56" s="35"/>
      <c r="AC56" s="37"/>
    </row>
    <row r="57" spans="1:29" ht="18.75" x14ac:dyDescent="0.3">
      <c r="A57" s="34"/>
      <c r="B57" s="35"/>
      <c r="C57" s="23"/>
      <c r="D57" s="35"/>
      <c r="E57" s="35"/>
      <c r="F57" s="35"/>
      <c r="G57" s="35"/>
      <c r="H57" s="35"/>
      <c r="I57" s="35"/>
      <c r="J57" s="35"/>
      <c r="K57" s="35"/>
      <c r="L57" s="35"/>
      <c r="M57" s="35"/>
      <c r="N57" s="35"/>
      <c r="O57" s="35"/>
      <c r="P57" s="35"/>
      <c r="Q57" s="35"/>
      <c r="R57" s="35"/>
      <c r="S57" s="35"/>
      <c r="T57" s="36"/>
      <c r="U57" s="35"/>
      <c r="V57" s="35"/>
      <c r="W57" s="35"/>
      <c r="X57" s="35"/>
      <c r="Y57" s="35"/>
      <c r="Z57" s="35"/>
      <c r="AA57" s="35"/>
      <c r="AB57" s="35"/>
      <c r="AC57" s="37"/>
    </row>
    <row r="58" spans="1:29" ht="18.75" x14ac:dyDescent="0.3">
      <c r="A58" s="34"/>
      <c r="B58" s="35"/>
      <c r="C58" s="23"/>
      <c r="D58" s="35"/>
      <c r="E58" s="35"/>
      <c r="F58" s="35"/>
      <c r="G58" s="35"/>
      <c r="H58" s="35"/>
      <c r="I58" s="35"/>
      <c r="J58" s="35"/>
      <c r="K58" s="35"/>
      <c r="L58" s="35"/>
      <c r="M58" s="35"/>
      <c r="N58" s="35"/>
      <c r="O58" s="35"/>
      <c r="P58" s="35"/>
      <c r="Q58" s="35"/>
      <c r="R58" s="35"/>
      <c r="S58" s="35"/>
      <c r="T58" s="36"/>
      <c r="U58" s="35"/>
      <c r="V58" s="35"/>
      <c r="W58" s="35"/>
      <c r="X58" s="35"/>
      <c r="Y58" s="35"/>
      <c r="Z58" s="35"/>
      <c r="AA58" s="35"/>
      <c r="AB58" s="35"/>
      <c r="AC58" s="37"/>
    </row>
    <row r="59" spans="1:29" ht="18.75" x14ac:dyDescent="0.3">
      <c r="A59" s="34"/>
      <c r="B59" s="35"/>
      <c r="C59" s="23"/>
      <c r="D59" s="35"/>
      <c r="E59" s="35"/>
      <c r="F59" s="35"/>
      <c r="G59" s="35"/>
      <c r="H59" s="35"/>
      <c r="I59" s="35"/>
      <c r="J59" s="35"/>
      <c r="K59" s="35"/>
      <c r="L59" s="35"/>
      <c r="M59" s="35"/>
      <c r="N59" s="35"/>
      <c r="O59" s="35"/>
      <c r="P59" s="35"/>
      <c r="Q59" s="35"/>
      <c r="R59" s="35"/>
      <c r="S59" s="35"/>
      <c r="T59" s="36"/>
      <c r="U59" s="35"/>
      <c r="V59" s="35"/>
      <c r="W59" s="35"/>
      <c r="X59" s="35"/>
      <c r="Y59" s="35"/>
      <c r="Z59" s="35"/>
      <c r="AA59" s="35"/>
      <c r="AB59" s="35"/>
      <c r="AC59" s="37"/>
    </row>
    <row r="60" spans="1:29" ht="18.75" x14ac:dyDescent="0.3">
      <c r="A60" s="34"/>
      <c r="B60" s="35"/>
      <c r="C60" s="23"/>
      <c r="D60" s="35"/>
      <c r="E60" s="35"/>
      <c r="F60" s="35"/>
      <c r="G60" s="35"/>
      <c r="H60" s="35"/>
      <c r="I60" s="35"/>
      <c r="J60" s="35"/>
      <c r="K60" s="35"/>
      <c r="L60" s="35"/>
      <c r="M60" s="35"/>
      <c r="N60" s="35"/>
      <c r="O60" s="35"/>
      <c r="P60" s="35"/>
      <c r="Q60" s="35"/>
      <c r="R60" s="35"/>
      <c r="S60" s="35"/>
      <c r="T60" s="36"/>
      <c r="U60" s="35"/>
      <c r="V60" s="35"/>
      <c r="W60" s="35"/>
      <c r="X60" s="35"/>
      <c r="Y60" s="35"/>
      <c r="Z60" s="35"/>
      <c r="AA60" s="35"/>
      <c r="AB60" s="35"/>
      <c r="AC60" s="37"/>
    </row>
    <row r="61" spans="1:29" ht="18.75" x14ac:dyDescent="0.3">
      <c r="A61" s="34"/>
      <c r="B61" s="35"/>
      <c r="C61" s="23"/>
      <c r="D61" s="35"/>
      <c r="E61" s="35"/>
      <c r="F61" s="35"/>
      <c r="G61" s="35"/>
      <c r="H61" s="35"/>
      <c r="I61" s="35"/>
      <c r="J61" s="35"/>
      <c r="K61" s="35"/>
      <c r="L61" s="35"/>
      <c r="M61" s="35"/>
      <c r="N61" s="35"/>
      <c r="O61" s="35"/>
      <c r="P61" s="35"/>
      <c r="Q61" s="35"/>
      <c r="R61" s="35"/>
      <c r="S61" s="35"/>
      <c r="T61" s="36"/>
      <c r="U61" s="35"/>
      <c r="V61" s="35"/>
      <c r="W61" s="35"/>
      <c r="X61" s="35"/>
      <c r="Y61" s="35"/>
      <c r="Z61" s="35"/>
      <c r="AA61" s="35"/>
      <c r="AB61" s="35"/>
      <c r="AC61" s="37"/>
    </row>
  </sheetData>
  <phoneticPr fontId="3" type="noConversion"/>
  <dataValidations count="6">
    <dataValidation type="list" allowBlank="1" showInputMessage="1" showErrorMessage="1" sqref="B2:B61">
      <formula1>Comp</formula1>
    </dataValidation>
    <dataValidation type="list" allowBlank="1" showInputMessage="1" showErrorMessage="1" sqref="D2:D61">
      <formula1>vend</formula1>
    </dataValidation>
    <dataValidation type="list" allowBlank="1" showInputMessage="1" showErrorMessage="1" sqref="G2:G61">
      <formula1>env</formula1>
    </dataValidation>
    <dataValidation type="list" allowBlank="1" showInputMessage="1" showErrorMessage="1" sqref="U14:U27 U2:U10">
      <formula1>HYP</formula1>
    </dataValidation>
    <dataValidation type="list" allowBlank="1" showInputMessage="1" showErrorMessage="1" sqref="U31:U45">
      <formula1>DB</formula1>
    </dataValidation>
    <dataValidation type="list" allowBlank="1" showInputMessage="1" showErrorMessage="1" sqref="K14">
      <formula1>vendor</formula1>
    </dataValidation>
  </dataValidations>
  <pageMargins left="0.7" right="0.7" top="0.75" bottom="0.75" header="0.3" footer="0.3"/>
  <pageSetup orientation="landscape"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U57"/>
  <sheetViews>
    <sheetView workbookViewId="0">
      <selection activeCell="AB3" sqref="AB3"/>
    </sheetView>
  </sheetViews>
  <sheetFormatPr defaultColWidth="11.5703125" defaultRowHeight="12.75" x14ac:dyDescent="0.2"/>
  <cols>
    <col min="3" max="3" width="22.7109375" customWidth="1"/>
    <col min="19" max="19" width="27.28515625" bestFit="1" customWidth="1"/>
  </cols>
  <sheetData>
    <row r="1" spans="1:21" ht="16.5" x14ac:dyDescent="0.3">
      <c r="A1" t="s">
        <v>103</v>
      </c>
      <c r="C1" s="2" t="s">
        <v>98</v>
      </c>
      <c r="H1" t="s">
        <v>41</v>
      </c>
      <c r="J1" t="s">
        <v>107</v>
      </c>
      <c r="L1" t="s">
        <v>128</v>
      </c>
      <c r="N1" t="s">
        <v>120</v>
      </c>
      <c r="Q1" t="s">
        <v>99</v>
      </c>
      <c r="S1" s="28" t="s">
        <v>1</v>
      </c>
      <c r="T1" s="28"/>
      <c r="U1" s="28" t="s">
        <v>134</v>
      </c>
    </row>
    <row r="2" spans="1:21" ht="16.5" x14ac:dyDescent="0.3">
      <c r="A2" t="s">
        <v>104</v>
      </c>
      <c r="C2" s="2" t="s">
        <v>157</v>
      </c>
      <c r="H2" t="s">
        <v>92</v>
      </c>
      <c r="J2" t="s">
        <v>93</v>
      </c>
      <c r="L2" s="27" t="s">
        <v>129</v>
      </c>
      <c r="N2" t="s">
        <v>121</v>
      </c>
      <c r="Q2" t="s">
        <v>125</v>
      </c>
      <c r="S2" s="28" t="s">
        <v>2</v>
      </c>
      <c r="T2" s="28"/>
      <c r="U2" s="28" t="s">
        <v>98</v>
      </c>
    </row>
    <row r="3" spans="1:21" ht="16.5" x14ac:dyDescent="0.3">
      <c r="A3" t="s">
        <v>105</v>
      </c>
      <c r="C3" s="2" t="s">
        <v>158</v>
      </c>
      <c r="H3" t="s">
        <v>102</v>
      </c>
      <c r="J3" t="s">
        <v>108</v>
      </c>
      <c r="L3" s="27" t="s">
        <v>130</v>
      </c>
      <c r="N3" t="s">
        <v>122</v>
      </c>
      <c r="S3" s="28" t="s">
        <v>3</v>
      </c>
      <c r="T3" s="28"/>
      <c r="U3" s="28" t="s">
        <v>126</v>
      </c>
    </row>
    <row r="4" spans="1:21" ht="16.5" x14ac:dyDescent="0.3">
      <c r="C4" s="2" t="s">
        <v>127</v>
      </c>
      <c r="L4" t="s">
        <v>131</v>
      </c>
      <c r="N4" t="s">
        <v>123</v>
      </c>
      <c r="S4" s="28" t="s">
        <v>4</v>
      </c>
      <c r="T4" s="28"/>
      <c r="U4" s="28" t="s">
        <v>135</v>
      </c>
    </row>
    <row r="5" spans="1:21" ht="16.5" x14ac:dyDescent="0.3">
      <c r="C5" s="2" t="s">
        <v>159</v>
      </c>
      <c r="L5" s="27" t="s">
        <v>132</v>
      </c>
      <c r="N5" t="s">
        <v>124</v>
      </c>
      <c r="S5" s="28" t="s">
        <v>5</v>
      </c>
      <c r="T5" s="28"/>
      <c r="U5" s="28" t="s">
        <v>136</v>
      </c>
    </row>
    <row r="6" spans="1:21" ht="16.5" x14ac:dyDescent="0.3">
      <c r="C6" s="2" t="s">
        <v>100</v>
      </c>
      <c r="L6" s="27" t="s">
        <v>133</v>
      </c>
      <c r="N6" t="s">
        <v>106</v>
      </c>
      <c r="S6" s="28" t="s">
        <v>6</v>
      </c>
      <c r="T6" s="28"/>
      <c r="U6" s="28" t="s">
        <v>101</v>
      </c>
    </row>
    <row r="7" spans="1:21" ht="16.5" x14ac:dyDescent="0.3">
      <c r="C7" s="2" t="s">
        <v>160</v>
      </c>
      <c r="S7" s="28" t="s">
        <v>7</v>
      </c>
      <c r="T7" s="28"/>
      <c r="U7" s="28" t="s">
        <v>112</v>
      </c>
    </row>
    <row r="8" spans="1:21" x14ac:dyDescent="0.2">
      <c r="S8" s="28" t="s">
        <v>8</v>
      </c>
      <c r="T8" s="28"/>
      <c r="U8" s="28"/>
    </row>
    <row r="9" spans="1:21" x14ac:dyDescent="0.2">
      <c r="S9" s="28" t="s">
        <v>9</v>
      </c>
      <c r="T9" s="28"/>
      <c r="U9" s="28"/>
    </row>
    <row r="10" spans="1:21" x14ac:dyDescent="0.2">
      <c r="S10" s="28" t="s">
        <v>10</v>
      </c>
      <c r="T10" s="28"/>
      <c r="U10" s="28"/>
    </row>
    <row r="11" spans="1:21" x14ac:dyDescent="0.2">
      <c r="S11" s="28" t="s">
        <v>11</v>
      </c>
      <c r="T11" s="28"/>
      <c r="U11" s="28"/>
    </row>
    <row r="12" spans="1:21" x14ac:dyDescent="0.2">
      <c r="S12" s="28" t="s">
        <v>12</v>
      </c>
      <c r="T12" s="28"/>
      <c r="U12" s="28"/>
    </row>
    <row r="13" spans="1:21" x14ac:dyDescent="0.2">
      <c r="S13" s="28" t="s">
        <v>13</v>
      </c>
      <c r="T13" s="28"/>
      <c r="U13" s="28"/>
    </row>
    <row r="14" spans="1:21" x14ac:dyDescent="0.2">
      <c r="S14" s="28" t="s">
        <v>14</v>
      </c>
      <c r="T14" s="28"/>
      <c r="U14" s="28"/>
    </row>
    <row r="15" spans="1:21" x14ac:dyDescent="0.2">
      <c r="S15" s="28" t="s">
        <v>15</v>
      </c>
      <c r="T15" s="28"/>
      <c r="U15" s="28"/>
    </row>
    <row r="16" spans="1:21" x14ac:dyDescent="0.2">
      <c r="S16" s="28" t="s">
        <v>16</v>
      </c>
      <c r="T16" s="28"/>
      <c r="U16" s="28"/>
    </row>
    <row r="17" spans="19:21" x14ac:dyDescent="0.2">
      <c r="S17" s="28" t="s">
        <v>17</v>
      </c>
      <c r="T17" s="28"/>
      <c r="U17" s="28"/>
    </row>
    <row r="18" spans="19:21" x14ac:dyDescent="0.2">
      <c r="S18" s="28" t="s">
        <v>18</v>
      </c>
      <c r="T18" s="28"/>
      <c r="U18" s="28"/>
    </row>
    <row r="19" spans="19:21" x14ac:dyDescent="0.2">
      <c r="S19" s="28" t="s">
        <v>19</v>
      </c>
      <c r="T19" s="28"/>
      <c r="U19" s="28"/>
    </row>
    <row r="20" spans="19:21" x14ac:dyDescent="0.2">
      <c r="S20" s="28" t="s">
        <v>20</v>
      </c>
      <c r="T20" s="28"/>
      <c r="U20" s="28"/>
    </row>
    <row r="21" spans="19:21" x14ac:dyDescent="0.2">
      <c r="S21" s="28" t="s">
        <v>21</v>
      </c>
      <c r="T21" s="28"/>
      <c r="U21" s="28"/>
    </row>
    <row r="22" spans="19:21" x14ac:dyDescent="0.2">
      <c r="S22" s="28" t="s">
        <v>22</v>
      </c>
      <c r="T22" s="28"/>
      <c r="U22" s="28"/>
    </row>
    <row r="23" spans="19:21" x14ac:dyDescent="0.2">
      <c r="S23" s="28" t="s">
        <v>23</v>
      </c>
      <c r="T23" s="28"/>
      <c r="U23" s="28"/>
    </row>
    <row r="24" spans="19:21" x14ac:dyDescent="0.2">
      <c r="S24" s="28" t="s">
        <v>24</v>
      </c>
      <c r="T24" s="28"/>
      <c r="U24" s="28"/>
    </row>
    <row r="25" spans="19:21" x14ac:dyDescent="0.2">
      <c r="S25" s="28" t="s">
        <v>25</v>
      </c>
      <c r="T25" s="28"/>
      <c r="U25" s="28"/>
    </row>
    <row r="26" spans="19:21" x14ac:dyDescent="0.2">
      <c r="S26" s="28" t="s">
        <v>26</v>
      </c>
      <c r="T26" s="28"/>
      <c r="U26" s="28"/>
    </row>
    <row r="27" spans="19:21" x14ac:dyDescent="0.2">
      <c r="S27" s="28" t="s">
        <v>27</v>
      </c>
      <c r="T27" s="28"/>
      <c r="U27" s="28"/>
    </row>
    <row r="28" spans="19:21" x14ac:dyDescent="0.2">
      <c r="S28" s="28" t="s">
        <v>28</v>
      </c>
      <c r="T28" s="28"/>
      <c r="U28" s="28"/>
    </row>
    <row r="29" spans="19:21" x14ac:dyDescent="0.2">
      <c r="S29" s="28" t="s">
        <v>29</v>
      </c>
      <c r="T29" s="28"/>
      <c r="U29" s="28"/>
    </row>
    <row r="30" spans="19:21" x14ac:dyDescent="0.2">
      <c r="S30" s="28" t="s">
        <v>30</v>
      </c>
      <c r="T30" s="28"/>
      <c r="U30" s="28"/>
    </row>
    <row r="31" spans="19:21" x14ac:dyDescent="0.2">
      <c r="S31" s="28" t="s">
        <v>31</v>
      </c>
      <c r="T31" s="28"/>
      <c r="U31" s="28"/>
    </row>
    <row r="32" spans="19:21" x14ac:dyDescent="0.2">
      <c r="S32" s="28" t="s">
        <v>32</v>
      </c>
      <c r="T32" s="28"/>
      <c r="U32" s="28"/>
    </row>
    <row r="33" spans="19:21" x14ac:dyDescent="0.2">
      <c r="S33" s="28" t="s">
        <v>33</v>
      </c>
      <c r="T33" s="28"/>
      <c r="U33" s="28"/>
    </row>
    <row r="34" spans="19:21" x14ac:dyDescent="0.2">
      <c r="S34" s="28" t="s">
        <v>34</v>
      </c>
      <c r="T34" s="28"/>
      <c r="U34" s="28"/>
    </row>
    <row r="35" spans="19:21" x14ac:dyDescent="0.2">
      <c r="S35" s="28" t="s">
        <v>35</v>
      </c>
      <c r="T35" s="28"/>
      <c r="U35" s="28"/>
    </row>
    <row r="36" spans="19:21" x14ac:dyDescent="0.2">
      <c r="S36" s="28" t="s">
        <v>36</v>
      </c>
      <c r="T36" s="28"/>
      <c r="U36" s="28"/>
    </row>
    <row r="37" spans="19:21" x14ac:dyDescent="0.2">
      <c r="S37" s="28" t="s">
        <v>37</v>
      </c>
      <c r="T37" s="28"/>
      <c r="U37" s="28"/>
    </row>
    <row r="38" spans="19:21" x14ac:dyDescent="0.2">
      <c r="S38" s="28" t="s">
        <v>38</v>
      </c>
      <c r="T38" s="28"/>
      <c r="U38" s="28"/>
    </row>
    <row r="39" spans="19:21" x14ac:dyDescent="0.2">
      <c r="S39" s="28" t="s">
        <v>39</v>
      </c>
      <c r="T39" s="28"/>
      <c r="U39" s="28"/>
    </row>
    <row r="40" spans="19:21" x14ac:dyDescent="0.2">
      <c r="S40" s="28" t="s">
        <v>40</v>
      </c>
      <c r="T40" s="28"/>
      <c r="U40" s="28"/>
    </row>
    <row r="41" spans="19:21" x14ac:dyDescent="0.2">
      <c r="S41" s="28" t="s">
        <v>41</v>
      </c>
      <c r="T41" s="28"/>
      <c r="U41" s="28"/>
    </row>
    <row r="42" spans="19:21" x14ac:dyDescent="0.2">
      <c r="S42" s="28" t="s">
        <v>42</v>
      </c>
      <c r="T42" s="28"/>
      <c r="U42" s="28"/>
    </row>
    <row r="43" spans="19:21" x14ac:dyDescent="0.2">
      <c r="S43" s="28" t="s">
        <v>43</v>
      </c>
      <c r="T43" s="28"/>
      <c r="U43" s="28"/>
    </row>
    <row r="44" spans="19:21" x14ac:dyDescent="0.2">
      <c r="S44" s="28" t="s">
        <v>44</v>
      </c>
      <c r="T44" s="28"/>
      <c r="U44" s="28"/>
    </row>
    <row r="45" spans="19:21" x14ac:dyDescent="0.2">
      <c r="S45" s="28" t="s">
        <v>45</v>
      </c>
      <c r="T45" s="28"/>
      <c r="U45" s="28"/>
    </row>
    <row r="46" spans="19:21" x14ac:dyDescent="0.2">
      <c r="S46" s="28" t="s">
        <v>46</v>
      </c>
      <c r="T46" s="28"/>
      <c r="U46" s="28"/>
    </row>
    <row r="47" spans="19:21" x14ac:dyDescent="0.2">
      <c r="S47" s="28" t="s">
        <v>47</v>
      </c>
      <c r="T47" s="28"/>
      <c r="U47" s="28"/>
    </row>
    <row r="48" spans="19:21" x14ac:dyDescent="0.2">
      <c r="S48" s="28" t="s">
        <v>48</v>
      </c>
      <c r="T48" s="28"/>
      <c r="U48" s="28"/>
    </row>
    <row r="49" spans="19:21" x14ac:dyDescent="0.2">
      <c r="S49" s="28" t="s">
        <v>49</v>
      </c>
      <c r="T49" s="28"/>
      <c r="U49" s="28"/>
    </row>
    <row r="50" spans="19:21" x14ac:dyDescent="0.2">
      <c r="S50" s="28" t="s">
        <v>50</v>
      </c>
      <c r="T50" s="28"/>
      <c r="U50" s="28"/>
    </row>
    <row r="51" spans="19:21" x14ac:dyDescent="0.2">
      <c r="S51" s="28" t="s">
        <v>51</v>
      </c>
      <c r="T51" s="28"/>
      <c r="U51" s="28"/>
    </row>
    <row r="52" spans="19:21" x14ac:dyDescent="0.2">
      <c r="S52" s="28" t="s">
        <v>52</v>
      </c>
      <c r="T52" s="28"/>
      <c r="U52" s="28"/>
    </row>
    <row r="53" spans="19:21" x14ac:dyDescent="0.2">
      <c r="S53" s="28" t="s">
        <v>53</v>
      </c>
      <c r="T53" s="28"/>
      <c r="U53" s="28"/>
    </row>
    <row r="54" spans="19:21" x14ac:dyDescent="0.2">
      <c r="S54" s="28" t="s">
        <v>54</v>
      </c>
      <c r="T54" s="28"/>
      <c r="U54" s="28"/>
    </row>
    <row r="55" spans="19:21" x14ac:dyDescent="0.2">
      <c r="S55" s="28" t="s">
        <v>55</v>
      </c>
      <c r="T55" s="28"/>
      <c r="U55" s="28"/>
    </row>
    <row r="56" spans="19:21" x14ac:dyDescent="0.2">
      <c r="S56" s="28" t="s">
        <v>112</v>
      </c>
      <c r="T56" s="28"/>
      <c r="U56" s="28"/>
    </row>
    <row r="57" spans="19:21" x14ac:dyDescent="0.2">
      <c r="S57" s="28" t="s">
        <v>56</v>
      </c>
      <c r="T57" s="28"/>
      <c r="U57" s="28"/>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Customer Information</vt:lpstr>
      <vt:lpstr>High Level Discovery</vt:lpstr>
      <vt:lpstr>Common- Oracle Apps</vt:lpstr>
      <vt:lpstr>Siebel On OCI Discovery</vt:lpstr>
      <vt:lpstr>Siebel Sizing</vt:lpstr>
      <vt:lpstr>Lookup</vt:lpstr>
      <vt:lpstr>Comp</vt:lpstr>
      <vt:lpstr>Componenets</vt:lpstr>
      <vt:lpstr>Components</vt:lpstr>
      <vt:lpstr>DB</vt:lpstr>
      <vt:lpstr>env</vt:lpstr>
      <vt:lpstr>HYP</vt:lpstr>
      <vt:lpstr>perf</vt:lpstr>
      <vt:lpstr>vend</vt:lpstr>
      <vt:lpstr>vendor</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dlangloi</dc:creator>
  <cp:lastModifiedBy>Daniele Di Blasio</cp:lastModifiedBy>
  <cp:lastPrinted>2021-03-07T10:31:09Z</cp:lastPrinted>
  <dcterms:created xsi:type="dcterms:W3CDTF">2014-05-06T21:37:05Z</dcterms:created>
  <dcterms:modified xsi:type="dcterms:W3CDTF">2022-08-16T08:15:27Z</dcterms:modified>
</cp:coreProperties>
</file>